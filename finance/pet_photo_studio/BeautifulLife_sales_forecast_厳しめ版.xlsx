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要約" sheetId="1" state="visible" r:id="rId3"/>
    <sheet name="前提" sheetId="2" state="visible" r:id="rId4"/>
    <sheet name="月次予測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<sst xmlns="http://schemas.openxmlformats.org/spreadsheetml/2006/main" count="245" uniqueCount="133">
  <si>
    <r>
      <rPr>
        <b val="true"/>
        <sz val="14"/>
        <rFont val="Arial"/>
        <family val="0"/>
        <charset val="1"/>
      </rPr>
      <t xml:space="preserve">Beautiful Life </t>
    </r>
    <r>
      <rPr>
        <b val="true"/>
        <sz val="14"/>
        <rFont val="WenQuanYi Zen Hei"/>
        <family val="2"/>
      </rPr>
      <t xml:space="preserve">売上予測 要約</t>
    </r>
  </si>
  <si>
    <t xml:space="preserve">すべて「前提」シートの仮置きに基づく試算です。実績が出たら青字・黄色のセルを差し替えてください。</t>
  </si>
  <si>
    <t xml:space="preserve">指標</t>
  </si>
  <si>
    <t xml:space="preserve">悲観</t>
  </si>
  <si>
    <t xml:space="preserve">標準</t>
  </si>
  <si>
    <t xml:space="preserve">楽観</t>
  </si>
  <si>
    <t xml:space="preserve">メモ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</si>
  <si>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月の撮影組数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</si>
  <si>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開業から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か月目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継続判断の時点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</si>
  <si>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月の売上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</si>
  <si>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月の営業利益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返済前・円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</si>
  <si>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以上ならトントン以上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</si>
  <si>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月末の現金残高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</si>
  <si>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t xml:space="preserve">開業時の手元資金から累計</t>
  </si>
  <si>
    <r>
      <rPr>
        <sz val="10"/>
        <color rgb="FF000000"/>
        <rFont val="WenQuanYi Zen Hei"/>
        <family val="2"/>
      </rPr>
      <t xml:space="preserve">損益分岐の撮影組数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月・安定期</t>
    </r>
    <r>
      <rPr>
        <sz val="10"/>
        <color rgb="FF000000"/>
        <rFont val="Noto Sans CJK SC"/>
        <family val="2"/>
        <charset val="1"/>
      </rPr>
      <t xml:space="preserve">)</t>
    </r>
  </si>
  <si>
    <t xml:space="preserve">返済前。会員費・リピートの単価ダウンは含まない</t>
  </si>
  <si>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か月の営業利益 合計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返済前・円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</si>
  <si>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か月の最低現金残高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</si>
  <si>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t xml:space="preserve">マイナスなら資金ショート</t>
  </si>
  <si>
    <r>
      <rPr>
        <sz val="10"/>
        <color rgb="FF000000"/>
        <rFont val="WenQuanYi Zen Hei"/>
        <family val="2"/>
      </rPr>
      <t xml:space="preserve">開業時の手元資金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Noto Sans CJK SC"/>
        <family val="2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</si>
  <si>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月の判定</t>
    </r>
  </si>
  <si>
    <t xml:space="preserve">注意</t>
  </si>
  <si>
    <t xml:space="preserve">・人件費、代表報酬、税金、設備の減価償却、決算費用の実際の支払い時期は含みません。</t>
  </si>
  <si>
    <t xml:space="preserve">・融資の金利と返済期間は仮置きです。公庫の見積もりで差し替えてください。</t>
  </si>
  <si>
    <t xml:space="preserve">・リピート、雑貨、会員費は実績がありません。融資資料では新規のみの数字を基準にし、これらは上積みとして示すのが安全です。</t>
  </si>
  <si>
    <r>
      <rPr>
        <sz val="10"/>
        <color rgb="FF000000"/>
        <rFont val="WenQuanYi Zen Hei"/>
        <family val="2"/>
      </rPr>
      <t xml:space="preserve">・チロペロのデータ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来場組数、新規の割合、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日</t>
    </r>
    <r>
      <rPr>
        <sz val="10"/>
        <color rgb="FF000000"/>
        <rFont val="Noto Sans CJK SC"/>
        <family val="2"/>
        <charset val="1"/>
      </rPr>
      <t xml:space="preserve">4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Noto Sans CJK SC"/>
        <family val="2"/>
        <charset val="1"/>
      </rPr>
      <t xml:space="preserve">5</t>
    </r>
    <r>
      <rPr>
        <sz val="10"/>
        <color rgb="FF000000"/>
        <rFont val="WenQuanYi Zen Hei"/>
        <family val="2"/>
      </rPr>
      <t xml:space="preserve">組の撮影</t>
    </r>
    <r>
      <rPr>
        <sz val="10"/>
        <color rgb="FF000000"/>
        <rFont val="Noto Sans CJK SC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はユーザー提供の実績です。</t>
    </r>
  </si>
  <si>
    <r>
      <rPr>
        <b val="true"/>
        <sz val="14"/>
        <rFont val="Arial"/>
        <family val="0"/>
        <charset val="1"/>
      </rPr>
      <t xml:space="preserve">Beautiful Life </t>
    </r>
    <r>
      <rPr>
        <b val="true"/>
        <sz val="14"/>
        <rFont val="WenQuanYi Zen Hei"/>
        <family val="2"/>
      </rPr>
      <t xml:space="preserve">売上予測 前提条件</t>
    </r>
  </si>
  <si>
    <r>
      <rPr>
        <sz val="10"/>
        <color rgb="FF000000"/>
        <rFont val="WenQuanYi Zen Hei"/>
        <family val="2"/>
      </rPr>
      <t xml:space="preserve">青字</t>
    </r>
    <r>
      <rPr>
        <sz val="10"/>
        <color rgb="FF000000"/>
        <rFont val="Noto Sans CJK SC"/>
        <family val="2"/>
        <charset val="1"/>
      </rPr>
      <t xml:space="preserve">=</t>
    </r>
    <r>
      <rPr>
        <sz val="10"/>
        <color rgb="FF000000"/>
        <rFont val="WenQuanYi Zen Hei"/>
        <family val="2"/>
      </rPr>
      <t xml:space="preserve">入力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変更可</t>
    </r>
    <r>
      <rPr>
        <sz val="10"/>
        <color rgb="FF000000"/>
        <rFont val="Noto Sans CJK SC"/>
        <family val="2"/>
        <charset val="1"/>
      </rPr>
      <t xml:space="preserve">)/ </t>
    </r>
    <r>
      <rPr>
        <sz val="10"/>
        <color rgb="FF000000"/>
        <rFont val="WenQuanYi Zen Hei"/>
        <family val="2"/>
      </rPr>
      <t xml:space="preserve">黄色</t>
    </r>
    <r>
      <rPr>
        <sz val="10"/>
        <color rgb="FF000000"/>
        <rFont val="Noto Sans CJK SC"/>
        <family val="2"/>
        <charset val="1"/>
      </rPr>
      <t xml:space="preserve">=</t>
    </r>
    <r>
      <rPr>
        <sz val="10"/>
        <color rgb="FF000000"/>
        <rFont val="WenQuanYi Zen Hei"/>
        <family val="2"/>
      </rPr>
      <t xml:space="preserve">要確認の仮置き </t>
    </r>
    <r>
      <rPr>
        <sz val="10"/>
        <color rgb="FF000000"/>
        <rFont val="Noto Sans CJK SC"/>
        <family val="2"/>
        <charset val="1"/>
      </rPr>
      <t xml:space="preserve">/ </t>
    </r>
    <r>
      <rPr>
        <sz val="10"/>
        <color rgb="FF000000"/>
        <rFont val="WenQuanYi Zen Hei"/>
        <family val="2"/>
      </rPr>
      <t xml:space="preserve">黒字</t>
    </r>
    <r>
      <rPr>
        <sz val="10"/>
        <color rgb="FF000000"/>
        <rFont val="Noto Sans CJK SC"/>
        <family val="2"/>
        <charset val="1"/>
      </rPr>
      <t xml:space="preserve">=</t>
    </r>
    <r>
      <rPr>
        <sz val="10"/>
        <color rgb="FF000000"/>
        <rFont val="WenQuanYi Zen Hei"/>
        <family val="2"/>
      </rPr>
      <t xml:space="preserve">計算。数字を変えると「月次予測」「要約」が自動で変わります。</t>
    </r>
  </si>
  <si>
    <t xml:space="preserve">項目</t>
  </si>
  <si>
    <t xml:space="preserve">根拠・メモ</t>
  </si>
  <si>
    <r>
      <rPr>
        <sz val="10"/>
        <color rgb="FF000000"/>
        <rFont val="WenQuanYi Zen Hei"/>
        <family val="2"/>
      </rPr>
      <t xml:space="preserve">土日の来場組数</t>
    </r>
    <r>
      <rPr>
        <sz val="10"/>
        <color rgb="FF000000"/>
        <rFont val="Noto Sans CJK SC"/>
        <family val="2"/>
        <charset val="1"/>
      </rPr>
      <t xml:space="preserve">(1</t>
    </r>
    <r>
      <rPr>
        <sz val="10"/>
        <color rgb="FF000000"/>
        <rFont val="WenQuanYi Zen Hei"/>
        <family val="2"/>
      </rPr>
      <t xml:space="preserve">日あたり</t>
    </r>
    <r>
      <rPr>
        <sz val="10"/>
        <color rgb="FF000000"/>
        <rFont val="Noto Sans CJK SC"/>
        <family val="2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</si>
  <si>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ユーザー提供</t>
    </r>
    <r>
      <rPr>
        <sz val="10"/>
        <color rgb="FF000000"/>
        <rFont val="Noto Sans CJK SC"/>
        <family val="2"/>
        <charset val="1"/>
      </rPr>
      <t xml:space="preserve">: </t>
    </r>
    <r>
      <rPr>
        <sz val="10"/>
        <color rgb="FF000000"/>
        <rFont val="WenQuanYi Zen Hei"/>
        <family val="2"/>
      </rPr>
      <t xml:space="preserve">チロペロの土日は平日</t>
    </r>
    <r>
      <rPr>
        <sz val="10"/>
        <color rgb="FF000000"/>
        <rFont val="Noto Sans CJK SC"/>
        <family val="2"/>
        <charset val="1"/>
      </rPr>
      <t xml:space="preserve">(20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Noto Sans CJK SC"/>
        <family val="2"/>
        <charset val="1"/>
      </rPr>
      <t xml:space="preserve">30</t>
    </r>
    <r>
      <rPr>
        <sz val="10"/>
        <color rgb="FF000000"/>
        <rFont val="WenQuanYi Zen Hei"/>
        <family val="2"/>
      </rPr>
      <t xml:space="preserve">組</t>
    </r>
    <r>
      <rPr>
        <sz val="10"/>
        <color rgb="FF000000"/>
        <rFont val="Noto Sans CJK SC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の倍近く</t>
    </r>
  </si>
  <si>
    <r>
      <rPr>
        <sz val="10"/>
        <color rgb="FF000000"/>
        <rFont val="WenQuanYi Zen Hei"/>
        <family val="2"/>
      </rPr>
      <t xml:space="preserve">土日の営業日数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Noto Sans CJK SC"/>
        <family val="2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</si>
  <si>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月の土日の日数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祝日除く</t>
    </r>
    <r>
      <rPr>
        <sz val="10"/>
        <color rgb="FF000000"/>
        <rFont val="Noto Sans CJK SC"/>
        <family val="2"/>
        <charset val="1"/>
      </rPr>
      <t xml:space="preserve">)</t>
    </r>
  </si>
  <si>
    <t xml:space="preserve">来場者のうち新規の割合</t>
  </si>
  <si>
    <r>
      <rPr>
        <sz val="10"/>
        <color rgb="FF000000"/>
        <rFont val="WenQuanYi Zen Hei"/>
        <family val="2"/>
      </rPr>
      <t xml:space="preserve">ユーザー提供</t>
    </r>
    <r>
      <rPr>
        <sz val="10"/>
        <color rgb="FF000000"/>
        <rFont val="Noto Sans CJK SC"/>
        <family val="2"/>
        <charset val="1"/>
      </rPr>
      <t xml:space="preserve">: </t>
    </r>
    <r>
      <rPr>
        <sz val="10"/>
        <color rgb="FF000000"/>
        <rFont val="WenQuanYi Zen Hei"/>
        <family val="2"/>
      </rPr>
      <t xml:space="preserve">土日の新規は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Noto Sans CJK SC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割</t>
    </r>
  </si>
  <si>
    <t xml:space="preserve">新規のうち店舗で撮影する割合</t>
  </si>
  <si>
    <r>
      <rPr>
        <sz val="10"/>
        <color rgb="FF000000"/>
        <rFont val="WenQuanYi Zen Hei"/>
        <family val="2"/>
      </rPr>
      <t xml:space="preserve">出店の実績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新規の約</t>
    </r>
    <r>
      <rPr>
        <sz val="10"/>
        <color rgb="FF000000"/>
        <rFont val="Noto Sans CJK SC"/>
        <family val="2"/>
        <charset val="1"/>
      </rPr>
      <t xml:space="preserve">25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Noto Sans CJK SC"/>
        <family val="2"/>
        <charset val="1"/>
      </rPr>
      <t xml:space="preserve">55%</t>
    </r>
    <r>
      <rPr>
        <sz val="10"/>
        <color rgb="FF000000"/>
        <rFont val="WenQuanYi Zen Hei"/>
        <family val="2"/>
      </rPr>
      <t xml:space="preserve">が撮影</t>
    </r>
    <r>
      <rPr>
        <sz val="10"/>
        <color rgb="FF000000"/>
        <rFont val="Noto Sans CJK SC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を</t>
    </r>
    <r>
      <rPr>
        <sz val="10"/>
        <color rgb="FF000000"/>
        <rFont val="Noto Sans CJK SC"/>
        <family val="2"/>
        <charset val="1"/>
      </rPr>
      <t xml:space="preserve">1/3</t>
    </r>
    <r>
      <rPr>
        <sz val="10"/>
        <color rgb="FF000000"/>
        <rFont val="WenQuanYi Zen Hei"/>
        <family val="2"/>
      </rPr>
      <t xml:space="preserve">に割り引いた仮置き。要検証</t>
    </r>
  </si>
  <si>
    <r>
      <rPr>
        <sz val="10"/>
        <color rgb="FF000000"/>
        <rFont val="WenQuanYi Zen Hei"/>
        <family val="2"/>
      </rPr>
      <t xml:space="preserve">その他経路の撮影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月の組数</t>
    </r>
    <r>
      <rPr>
        <sz val="10"/>
        <color rgb="FF000000"/>
        <rFont val="Noto Sans CJK SC"/>
        <family val="2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</si>
  <si>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提携サロン・</t>
    </r>
    <r>
      <rPr>
        <sz val="10"/>
        <color rgb="FF000000"/>
        <rFont val="Noto Sans CJK SC"/>
        <family val="2"/>
        <charset val="1"/>
      </rPr>
      <t xml:space="preserve">SNS</t>
    </r>
    <r>
      <rPr>
        <sz val="10"/>
        <color rgb="FF000000"/>
        <rFont val="WenQuanYi Zen Hei"/>
        <family val="2"/>
      </rPr>
      <t xml:space="preserve">等。未検証の仮置き</t>
    </r>
  </si>
  <si>
    <r>
      <rPr>
        <sz val="10"/>
        <color rgb="FF000000"/>
        <rFont val="WenQuanYi Zen Hei"/>
        <family val="2"/>
      </rPr>
      <t xml:space="preserve">撮影の客単価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Noto Sans CJK SC"/>
        <family val="2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</si>
  <si>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セルフ撮影</t>
    </r>
    <r>
      <rPr>
        <sz val="10"/>
        <color rgb="FF000000"/>
        <rFont val="Noto Sans CJK SC"/>
        <family val="2"/>
        <charset val="1"/>
      </rPr>
      <t xml:space="preserve">¥4,000</t>
    </r>
    <r>
      <rPr>
        <sz val="10"/>
        <color rgb="FF000000"/>
        <rFont val="WenQuanYi Zen Hei"/>
        <family val="2"/>
      </rPr>
      <t xml:space="preserve">／プロカメラマン撮影</t>
    </r>
    <r>
      <rPr>
        <sz val="10"/>
        <color rgb="FF000000"/>
        <rFont val="Noto Sans CJK SC"/>
        <family val="2"/>
        <charset val="1"/>
      </rPr>
      <t xml:space="preserve">¥10,000</t>
    </r>
    <r>
      <rPr>
        <sz val="10"/>
        <color rgb="FF000000"/>
        <rFont val="WenQuanYi Zen Hei"/>
        <family val="2"/>
      </rPr>
      <t xml:space="preserve">〜 の週末来店ブレンド単価。比率は仮置き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悲観</t>
    </r>
    <r>
      <rPr>
        <sz val="10"/>
        <color rgb="FF000000"/>
        <rFont val="Noto Sans CJK SC"/>
        <family val="2"/>
        <charset val="1"/>
      </rPr>
      <t xml:space="preserve">:</t>
    </r>
    <r>
      <rPr>
        <sz val="10"/>
        <color rgb="FF000000"/>
        <rFont val="WenQuanYi Zen Hei"/>
        <family val="2"/>
      </rPr>
      <t xml:space="preserve">セルフ</t>
    </r>
    <r>
      <rPr>
        <sz val="10"/>
        <color rgb="FF000000"/>
        <rFont val="Noto Sans CJK SC"/>
        <family val="2"/>
        <charset val="1"/>
      </rPr>
      <t xml:space="preserve">80%/</t>
    </r>
    <r>
      <rPr>
        <sz val="10"/>
        <color rgb="FF000000"/>
        <rFont val="WenQuanYi Zen Hei"/>
        <family val="2"/>
      </rPr>
      <t xml:space="preserve">プロ</t>
    </r>
    <r>
      <rPr>
        <sz val="10"/>
        <color rgb="FF000000"/>
        <rFont val="Noto Sans CJK SC"/>
        <family val="2"/>
        <charset val="1"/>
      </rPr>
      <t xml:space="preserve">20%</t>
    </r>
    <r>
      <rPr>
        <sz val="10"/>
        <color rgb="FF000000"/>
        <rFont val="WenQuanYi Zen Hei"/>
        <family val="2"/>
      </rPr>
      <t xml:space="preserve">、標準</t>
    </r>
    <r>
      <rPr>
        <sz val="10"/>
        <color rgb="FF000000"/>
        <rFont val="Noto Sans CJK SC"/>
        <family val="2"/>
        <charset val="1"/>
      </rPr>
      <t xml:space="preserve">75/25</t>
    </r>
    <r>
      <rPr>
        <sz val="10"/>
        <color rgb="FF000000"/>
        <rFont val="WenQuanYi Zen Hei"/>
        <family val="2"/>
      </rPr>
      <t xml:space="preserve">、楽観</t>
    </r>
    <r>
      <rPr>
        <sz val="10"/>
        <color rgb="FF000000"/>
        <rFont val="Noto Sans CJK SC"/>
        <family val="2"/>
        <charset val="1"/>
      </rPr>
      <t xml:space="preserve">65/35)</t>
    </r>
    <r>
      <rPr>
        <sz val="10"/>
        <color rgb="FF000000"/>
        <rFont val="WenQuanYi Zen Hei"/>
        <family val="2"/>
      </rPr>
      <t xml:space="preserve">。要確認</t>
    </r>
  </si>
  <si>
    <r>
      <rPr>
        <sz val="10"/>
        <color rgb="FF000000"/>
        <rFont val="WenQuanYi Zen Hei"/>
        <family val="2"/>
      </rPr>
      <t xml:space="preserve">リピートの月次再来率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累計顧客に対して</t>
    </r>
    <r>
      <rPr>
        <sz val="10"/>
        <color rgb="FF000000"/>
        <rFont val="Noto Sans CJK SC"/>
        <family val="2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</si>
  <si>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ドッグランでは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度目の依頼なし。ブース変更・会員制度での仮置き</t>
    </r>
  </si>
  <si>
    <r>
      <rPr>
        <sz val="10"/>
        <color rgb="FF000000"/>
        <rFont val="WenQuanYi Zen Hei"/>
        <family val="2"/>
      </rPr>
      <t xml:space="preserve">リピート時の客単価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新規比</t>
    </r>
    <r>
      <rPr>
        <sz val="10"/>
        <color rgb="FF000000"/>
        <rFont val="Noto Sans CJK SC"/>
        <family val="2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</si>
  <si>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会員特典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時間・犬代無料の検討</t>
    </r>
    <r>
      <rPr>
        <sz val="10"/>
        <color rgb="FF000000"/>
        <rFont val="Noto Sans CJK SC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による単価ダウンの仮置き</t>
    </r>
  </si>
  <si>
    <r>
      <rPr>
        <sz val="10"/>
        <color rgb="FF000000"/>
        <rFont val="WenQuanYi Zen Hei"/>
        <family val="2"/>
      </rPr>
      <t xml:space="preserve">会員化率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累計顧客のうち</t>
    </r>
    <r>
      <rPr>
        <sz val="10"/>
        <color rgb="FF000000"/>
        <rFont val="Noto Sans CJK SC"/>
        <family val="2"/>
        <charset val="1"/>
      </rPr>
      <t xml:space="preserve">)</t>
    </r>
  </si>
  <si>
    <t xml:space="preserve">会員制度は未設計。仮置き</t>
  </si>
  <si>
    <r>
      <rPr>
        <sz val="10"/>
        <color rgb="FF000000"/>
        <rFont val="WenQuanYi Zen Hei"/>
        <family val="2"/>
      </rPr>
      <t xml:space="preserve">会員費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月額・円</t>
    </r>
    <r>
      <rPr>
        <sz val="10"/>
        <color rgb="FF000000"/>
        <rFont val="Noto Sans CJK SC"/>
        <family val="2"/>
        <charset val="1"/>
      </rPr>
      <t xml:space="preserve">)</t>
    </r>
  </si>
  <si>
    <t xml:space="preserve">未決定。仮置き</t>
  </si>
  <si>
    <r>
      <rPr>
        <sz val="10"/>
        <color rgb="FF000000"/>
        <rFont val="WenQuanYi Zen Hei"/>
        <family val="2"/>
      </rPr>
      <t xml:space="preserve">雑貨目当ての来店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月の組数</t>
    </r>
    <r>
      <rPr>
        <sz val="10"/>
        <color rgb="FF000000"/>
        <rFont val="Noto Sans CJK SC"/>
        <family val="2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</si>
  <si>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ユーザー</t>
    </r>
    <r>
      <rPr>
        <sz val="10"/>
        <color rgb="FF000000"/>
        <rFont val="Noto Sans CJK SC"/>
        <family val="2"/>
        <charset val="1"/>
      </rPr>
      <t xml:space="preserve">: </t>
    </r>
    <r>
      <rPr>
        <sz val="10"/>
        <color rgb="FF000000"/>
        <rFont val="WenQuanYi Zen Hei"/>
        <family val="2"/>
      </rPr>
      <t xml:space="preserve">数組を想定</t>
    </r>
  </si>
  <si>
    <r>
      <rPr>
        <sz val="10"/>
        <color rgb="FF000000"/>
        <rFont val="WenQuanYi Zen Hei"/>
        <family val="2"/>
      </rPr>
      <t xml:space="preserve">雑貨の客単価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Noto Sans CJK SC"/>
        <family val="2"/>
        <charset val="1"/>
      </rPr>
      <t xml:space="preserve">)</t>
    </r>
  </si>
  <si>
    <t xml:space="preserve">仮置き</t>
  </si>
  <si>
    <t xml:space="preserve">雑貨の粗利率</t>
  </si>
  <si>
    <t xml:space="preserve">仮置き。委託販売なら仕入れリスクは小さい</t>
  </si>
  <si>
    <t xml:space="preserve">雑貨来店のうち撮影に進む割合</t>
  </si>
  <si>
    <r>
      <rPr>
        <sz val="10"/>
        <color rgb="FF000000"/>
        <rFont val="WenQuanYi Zen Hei"/>
        <family val="2"/>
      </rPr>
      <t xml:space="preserve">レンタルケースの稼働数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最大</t>
    </r>
    <r>
      <rPr>
        <sz val="10"/>
        <color rgb="FF000000"/>
        <rFont val="Noto Sans CJK SC"/>
        <family val="2"/>
        <charset val="1"/>
      </rPr>
      <t xml:space="preserve">15)</t>
    </r>
  </si>
  <si>
    <r>
      <rPr>
        <sz val="10"/>
        <color rgb="FF000000"/>
        <rFont val="WenQuanYi Zen Hei"/>
        <family val="2"/>
      </rPr>
      <t xml:space="preserve">議事録</t>
    </r>
    <r>
      <rPr>
        <sz val="10"/>
        <color rgb="FF000000"/>
        <rFont val="Noto Sans CJK SC"/>
        <family val="2"/>
        <charset val="1"/>
      </rPr>
      <t xml:space="preserve">: 15</t>
    </r>
    <r>
      <rPr>
        <sz val="10"/>
        <color rgb="FF000000"/>
        <rFont val="WenQuanYi Zen Hei"/>
        <family val="2"/>
      </rPr>
      <t xml:space="preserve">ボックス想定。稼働数は仮置き</t>
    </r>
  </si>
  <si>
    <r>
      <rPr>
        <sz val="10"/>
        <color rgb="FF000000"/>
        <rFont val="WenQuanYi Zen Hei"/>
        <family val="2"/>
      </rPr>
      <t xml:space="preserve">レンタルケース月額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Noto Sans CJK SC"/>
        <family val="2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</si>
  <si>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議事録</t>
    </r>
    <r>
      <rPr>
        <sz val="10"/>
        <color rgb="FF000000"/>
        <rFont val="Noto Sans CJK SC"/>
        <family val="2"/>
        <charset val="1"/>
      </rPr>
      <t xml:space="preserve">: </t>
    </r>
    <r>
      <rPr>
        <sz val="10"/>
        <color rgb="FF000000"/>
        <rFont val="WenQuanYi Zen Hei"/>
        <family val="2"/>
      </rPr>
      <t xml:space="preserve">前払い月</t>
    </r>
    <r>
      <rPr>
        <sz val="10"/>
        <color rgb="FF000000"/>
        <rFont val="Noto Sans CJK SC"/>
        <family val="2"/>
        <charset val="1"/>
      </rPr>
      <t xml:space="preserve">2,000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Noto Sans CJK SC"/>
        <family val="2"/>
        <charset val="1"/>
      </rPr>
      <t xml:space="preserve">3,000</t>
    </r>
    <r>
      <rPr>
        <sz val="10"/>
        <color rgb="FF000000"/>
        <rFont val="WenQuanYi Zen Hei"/>
        <family val="2"/>
      </rPr>
      <t xml:space="preserve">円</t>
    </r>
  </si>
  <si>
    <r>
      <rPr>
        <sz val="10"/>
        <color rgb="FF000000"/>
        <rFont val="WenQuanYi Zen Hei"/>
        <family val="2"/>
      </rPr>
      <t xml:space="preserve">家賃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Noto Sans CJK SC"/>
        <family val="2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</si>
  <si>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議事録</t>
    </r>
    <r>
      <rPr>
        <sz val="10"/>
        <color rgb="FF000000"/>
        <rFont val="Noto Sans CJK SC"/>
        <family val="2"/>
        <charset val="1"/>
      </rPr>
      <t xml:space="preserve">: </t>
    </r>
    <r>
      <rPr>
        <sz val="10"/>
        <color rgb="FF000000"/>
        <rFont val="WenQuanYi Zen Hei"/>
        <family val="2"/>
      </rPr>
      <t xml:space="preserve">約</t>
    </r>
    <r>
      <rPr>
        <sz val="10"/>
        <color rgb="FF000000"/>
        <rFont val="Noto Sans CJK SC"/>
        <family val="2"/>
        <charset val="1"/>
      </rPr>
      <t xml:space="preserve">5</t>
    </r>
    <r>
      <rPr>
        <sz val="10"/>
        <color rgb="FF000000"/>
        <rFont val="WenQuanYi Zen Hei"/>
        <family val="2"/>
      </rPr>
      <t xml:space="preserve">万円</t>
    </r>
  </si>
  <si>
    <r>
      <rPr>
        <sz val="10"/>
        <color rgb="FF000000"/>
        <rFont val="WenQuanYi Zen Hei"/>
        <family val="2"/>
      </rPr>
      <t xml:space="preserve">その他の月経費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光熱・通信・消耗品等</t>
    </r>
    <r>
      <rPr>
        <sz val="10"/>
        <color rgb="FF000000"/>
        <rFont val="Noto Sans CJK SC"/>
        <family val="2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</si>
  <si>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議事録</t>
    </r>
    <r>
      <rPr>
        <sz val="10"/>
        <color rgb="FF000000"/>
        <rFont val="Noto Sans CJK SC"/>
        <family val="2"/>
        <charset val="1"/>
      </rPr>
      <t xml:space="preserve">: </t>
    </r>
    <r>
      <rPr>
        <sz val="10"/>
        <color rgb="FF000000"/>
        <rFont val="WenQuanYi Zen Hei"/>
        <family val="2"/>
      </rPr>
      <t xml:space="preserve">月経費</t>
    </r>
    <r>
      <rPr>
        <sz val="10"/>
        <color rgb="FF000000"/>
        <rFont val="Noto Sans CJK SC"/>
        <family val="2"/>
        <charset val="1"/>
      </rPr>
      <t xml:space="preserve">15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家賃込み</t>
    </r>
    <r>
      <rPr>
        <sz val="10"/>
        <color rgb="FF000000"/>
        <rFont val="Noto Sans CJK SC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から家賃を引いた額。人件費は含まない</t>
    </r>
  </si>
  <si>
    <r>
      <rPr>
        <sz val="10"/>
        <color rgb="FF000000"/>
        <rFont val="WenQuanYi Zen Hei"/>
        <family val="2"/>
      </rPr>
      <t xml:space="preserve">決算費用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年額・円</t>
    </r>
    <r>
      <rPr>
        <sz val="10"/>
        <color rgb="FF000000"/>
        <rFont val="Noto Sans CJK SC"/>
        <family val="2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</si>
  <si>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議事録</t>
    </r>
    <r>
      <rPr>
        <sz val="10"/>
        <color rgb="FF000000"/>
        <rFont val="Noto Sans CJK SC"/>
        <family val="2"/>
        <charset val="1"/>
      </rPr>
      <t xml:space="preserve">: </t>
    </r>
    <r>
      <rPr>
        <sz val="10"/>
        <color rgb="FF000000"/>
        <rFont val="WenQuanYi Zen Hei"/>
        <family val="2"/>
      </rPr>
      <t xml:space="preserve">決算時に約</t>
    </r>
    <r>
      <rPr>
        <sz val="10"/>
        <color rgb="FF000000"/>
        <rFont val="Noto Sans CJK SC"/>
        <family val="2"/>
        <charset val="1"/>
      </rPr>
      <t xml:space="preserve">15</t>
    </r>
    <r>
      <rPr>
        <sz val="10"/>
        <color rgb="FF000000"/>
        <rFont val="WenQuanYi Zen Hei"/>
        <family val="2"/>
      </rPr>
      <t xml:space="preserve">万円。月次では</t>
    </r>
    <r>
      <rPr>
        <sz val="10"/>
        <color rgb="FF000000"/>
        <rFont val="Noto Sans CJK SC"/>
        <family val="2"/>
        <charset val="1"/>
      </rPr>
      <t xml:space="preserve">12</t>
    </r>
    <r>
      <rPr>
        <sz val="10"/>
        <color rgb="FF000000"/>
        <rFont val="WenQuanYi Zen Hei"/>
        <family val="2"/>
      </rPr>
      <t xml:space="preserve">分の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で計上</t>
    </r>
  </si>
  <si>
    <t xml:space="preserve">資本金・自己資金</t>
  </si>
  <si>
    <r>
      <rPr>
        <sz val="10"/>
        <color rgb="FF000000"/>
        <rFont val="WenQuanYi Zen Hei"/>
        <family val="2"/>
      </rPr>
      <t xml:space="preserve">父親の出資</t>
    </r>
    <r>
      <rPr>
        <sz val="10"/>
        <color rgb="FF000000"/>
        <rFont val="Noto Sans CJK SC"/>
        <family val="2"/>
        <charset val="1"/>
      </rPr>
      <t xml:space="preserve">100</t>
    </r>
    <r>
      <rPr>
        <sz val="10"/>
        <color rgb="FF000000"/>
        <rFont val="WenQuanYi Zen Hei"/>
        <family val="2"/>
      </rPr>
      <t xml:space="preserve">万円のみで計上（自己資金の見込み</t>
    </r>
    <r>
      <rPr>
        <sz val="10"/>
        <color rgb="FF000000"/>
        <rFont val="Noto Sans CJK SC"/>
        <family val="2"/>
        <charset val="1"/>
      </rPr>
      <t xml:space="preserve">30</t>
    </r>
    <r>
      <rPr>
        <sz val="10"/>
        <color rgb="FF000000"/>
        <rFont val="WenQuanYi Zen Hei"/>
        <family val="2"/>
      </rPr>
      <t xml:space="preserve">万円は除外）</t>
    </r>
  </si>
  <si>
    <r>
      <rPr>
        <sz val="10"/>
        <color rgb="FF000000"/>
        <rFont val="WenQuanYi Zen Hei"/>
        <family val="2"/>
      </rPr>
      <t xml:space="preserve">融資額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Noto Sans CJK SC"/>
        <family val="2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</si>
  <si>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議事録</t>
    </r>
    <r>
      <rPr>
        <sz val="10"/>
        <color rgb="FF000000"/>
        <rFont val="Noto Sans CJK SC"/>
        <family val="2"/>
        <charset val="1"/>
      </rPr>
      <t xml:space="preserve">: 300</t>
    </r>
    <r>
      <rPr>
        <sz val="10"/>
        <color rgb="FF000000"/>
        <rFont val="WenQuanYi Zen Hei"/>
        <family val="2"/>
      </rPr>
      <t xml:space="preserve">万円規模に見直し</t>
    </r>
  </si>
  <si>
    <r>
      <rPr>
        <sz val="10"/>
        <color rgb="FF000000"/>
        <rFont val="WenQuanYi Zen Hei"/>
        <family val="2"/>
      </rPr>
      <t xml:space="preserve">初期投資</t>
    </r>
    <r>
      <rPr>
        <sz val="10"/>
        <color rgb="FF000000"/>
        <rFont val="Noto Sans CJK SC"/>
        <family val="2"/>
        <charset val="1"/>
      </rPr>
      <t xml:space="preserve">: </t>
    </r>
    <r>
      <rPr>
        <sz val="10"/>
        <color rgb="FF000000"/>
        <rFont val="WenQuanYi Zen Hei"/>
        <family val="2"/>
      </rPr>
      <t xml:space="preserve">修繕</t>
    </r>
  </si>
  <si>
    <r>
      <rPr>
        <sz val="10"/>
        <color rgb="FF000000"/>
        <rFont val="WenQuanYi Zen Hei"/>
        <family val="2"/>
      </rPr>
      <t xml:space="preserve">修繕費を</t>
    </r>
    <r>
      <rPr>
        <sz val="10"/>
        <color rgb="FF000000"/>
        <rFont val="Noto Sans CJK SC"/>
        <family val="2"/>
        <charset val="1"/>
      </rPr>
      <t xml:space="preserve">100</t>
    </r>
    <r>
      <rPr>
        <sz val="10"/>
        <color rgb="FF000000"/>
        <rFont val="WenQuanYi Zen Hei"/>
        <family val="2"/>
      </rPr>
      <t xml:space="preserve">万円に引き上げる方針</t>
    </r>
  </si>
  <si>
    <r>
      <rPr>
        <sz val="10"/>
        <color rgb="FF000000"/>
        <rFont val="WenQuanYi Zen Hei"/>
        <family val="2"/>
      </rPr>
      <t xml:space="preserve">初期投資</t>
    </r>
    <r>
      <rPr>
        <sz val="10"/>
        <color rgb="FF000000"/>
        <rFont val="Noto Sans CJK SC"/>
        <family val="2"/>
        <charset val="1"/>
      </rPr>
      <t xml:space="preserve">: </t>
    </r>
    <r>
      <rPr>
        <sz val="10"/>
        <color rgb="FF000000"/>
        <rFont val="WenQuanYi Zen Hei"/>
        <family val="2"/>
      </rPr>
      <t xml:space="preserve">ブース・備品・雑貨仕入れ等</t>
    </r>
  </si>
  <si>
    <t xml:space="preserve">未見積もり。要確認</t>
  </si>
  <si>
    <r>
      <rPr>
        <sz val="10"/>
        <color rgb="FF000000"/>
        <rFont val="WenQuanYi Zen Hei"/>
        <family val="2"/>
      </rPr>
      <t xml:space="preserve">融資金利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Noto Sans CJK SC"/>
        <family val="2"/>
        <charset val="1"/>
      </rPr>
      <t xml:space="preserve">)</t>
    </r>
  </si>
  <si>
    <t xml:space="preserve">仮置き。公庫の見積もりで差し替え</t>
  </si>
  <si>
    <r>
      <rPr>
        <sz val="10"/>
        <color rgb="FF000000"/>
        <rFont val="WenQuanYi Zen Hei"/>
        <family val="2"/>
      </rPr>
      <t xml:space="preserve">返済期間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Noto Sans CJK SC"/>
        <family val="2"/>
        <charset val="1"/>
      </rPr>
      <t xml:space="preserve">)</t>
    </r>
  </si>
  <si>
    <t xml:space="preserve">仮置き。据置なしで計算</t>
  </si>
  <si>
    <r>
      <rPr>
        <b val="true"/>
        <sz val="10"/>
        <rFont val="WenQuanYi Zen Hei"/>
        <family val="2"/>
      </rPr>
      <t xml:space="preserve">月返済額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円</t>
    </r>
    <r>
      <rPr>
        <b val="true"/>
        <sz val="10"/>
        <rFont val="Noto Sans CJK SC"/>
        <family val="2"/>
        <charset val="1"/>
      </rPr>
      <t xml:space="preserve">)</t>
    </r>
  </si>
  <si>
    <t xml:space="preserve">元利均等の概算</t>
  </si>
  <si>
    <r>
      <rPr>
        <b val="true"/>
        <sz val="10"/>
        <rFont val="WenQuanYi Zen Hei"/>
        <family val="2"/>
      </rPr>
      <t xml:space="preserve">開業時の手元資金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円</t>
    </r>
    <r>
      <rPr>
        <b val="true"/>
        <sz val="10"/>
        <rFont val="Noto Sans CJK SC"/>
        <family val="2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</si>
  <si>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資本金</t>
    </r>
    <r>
      <rPr>
        <sz val="10"/>
        <color rgb="FF000000"/>
        <rFont val="Noto Sans CJK SC"/>
        <family val="2"/>
        <charset val="1"/>
      </rPr>
      <t xml:space="preserve">+</t>
    </r>
    <r>
      <rPr>
        <sz val="10"/>
        <color rgb="FF000000"/>
        <rFont val="WenQuanYi Zen Hei"/>
        <family val="2"/>
      </rPr>
      <t xml:space="preserve">融資−修繕−ブース・備品</t>
    </r>
  </si>
  <si>
    <r>
      <rPr>
        <sz val="11"/>
        <color rgb="FF000000"/>
        <rFont val="WenQuanYi Zen Hei"/>
        <family val="2"/>
      </rPr>
      <t xml:space="preserve">平日の来場組数</t>
    </r>
    <r>
      <rPr>
        <sz val="11"/>
        <color rgb="FF000000"/>
        <rFont val="Cambria"/>
        <family val="0"/>
        <charset val="1"/>
      </rPr>
      <t xml:space="preserve">(1</t>
    </r>
    <r>
      <rPr>
        <sz val="11"/>
        <color rgb="FF000000"/>
        <rFont val="WenQuanYi Zen Hei"/>
        <family val="2"/>
      </rPr>
      <t xml:space="preserve">日あたり・組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</si>
  <si>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ユーザー提供</t>
    </r>
    <r>
      <rPr>
        <sz val="11"/>
        <color rgb="FF000000"/>
        <rFont val="Cambria"/>
        <family val="0"/>
        <charset val="1"/>
      </rPr>
      <t xml:space="preserve">: </t>
    </r>
    <r>
      <rPr>
        <sz val="11"/>
        <color rgb="FF000000"/>
        <rFont val="WenQuanYi Zen Hei"/>
        <family val="2"/>
      </rPr>
      <t xml:space="preserve">平日</t>
    </r>
    <r>
      <rPr>
        <sz val="11"/>
        <color rgb="FF000000"/>
        <rFont val="Cambria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日平均</t>
    </r>
    <r>
      <rPr>
        <sz val="11"/>
        <color rgb="FF000000"/>
        <rFont val="Cambria"/>
        <family val="0"/>
        <charset val="1"/>
      </rPr>
      <t xml:space="preserve">0.5</t>
    </r>
    <r>
      <rPr>
        <sz val="11"/>
        <color rgb="FF000000"/>
        <rFont val="WenQuanYi Zen Hei"/>
        <family val="2"/>
      </rPr>
      <t xml:space="preserve">組。標準</t>
    </r>
    <r>
      <rPr>
        <sz val="11"/>
        <color rgb="FF000000"/>
        <rFont val="Cambria"/>
        <family val="0"/>
        <charset val="1"/>
      </rPr>
      <t xml:space="preserve">/</t>
    </r>
    <r>
      <rPr>
        <sz val="11"/>
        <color rgb="FF000000"/>
        <rFont val="WenQuanYi Zen Hei"/>
        <family val="2"/>
      </rPr>
      <t xml:space="preserve">楽観は同パターンで按分した仮置き</t>
    </r>
  </si>
  <si>
    <r>
      <rPr>
        <sz val="11"/>
        <color rgb="FF000000"/>
        <rFont val="WenQuanYi Zen Hei"/>
        <family val="2"/>
      </rPr>
      <t xml:space="preserve">平日の営業日数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月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</si>
  <si>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ユーザー提供</t>
    </r>
    <r>
      <rPr>
        <sz val="11"/>
        <color rgb="FF000000"/>
        <rFont val="Cambria"/>
        <family val="0"/>
        <charset val="1"/>
      </rPr>
      <t xml:space="preserve">: </t>
    </r>
    <r>
      <rPr>
        <sz val="11"/>
        <color rgb="FF000000"/>
        <rFont val="WenQuanYi Zen Hei"/>
        <family val="2"/>
      </rPr>
      <t xml:space="preserve">平日</t>
    </r>
    <r>
      <rPr>
        <sz val="11"/>
        <color rgb="FF000000"/>
        <rFont val="Cambria"/>
        <family val="0"/>
        <charset val="1"/>
      </rPr>
      <t xml:space="preserve">20</t>
    </r>
    <r>
      <rPr>
        <sz val="11"/>
        <color rgb="FF000000"/>
        <rFont val="WenQuanYi Zen Hei"/>
        <family val="2"/>
      </rPr>
      <t xml:space="preserve">日想定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祝日等除く概算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</si>
  <si>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平日撮影の客単価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円・プロカメラマン想定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</si>
  <si>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平日は事前予約前提のためプロカメラマン撮影</t>
    </r>
    <r>
      <rPr>
        <sz val="11"/>
        <color rgb="FF000000"/>
        <rFont val="Cambria"/>
        <family val="0"/>
        <charset val="1"/>
      </rPr>
      <t xml:space="preserve">(¥10,000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Cambria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のみと仮定</t>
    </r>
  </si>
  <si>
    <r>
      <rPr>
        <b val="true"/>
        <sz val="14"/>
        <rFont val="WenQuanYi Zen Hei"/>
        <family val="2"/>
      </rPr>
      <t xml:space="preserve">月次予測</t>
    </r>
    <r>
      <rPr>
        <b val="true"/>
        <sz val="14"/>
        <rFont val="Noto Sans CJK SC"/>
        <family val="2"/>
        <charset val="1"/>
      </rPr>
      <t xml:space="preserve">(3</t>
    </r>
    <r>
      <rPr>
        <b val="true"/>
        <sz val="14"/>
        <rFont val="WenQuanYi Zen Hei"/>
        <family val="2"/>
      </rPr>
      <t xml:space="preserve">シナリオ</t>
    </r>
    <r>
      <rPr>
        <b val="true"/>
        <sz val="14"/>
        <rFont val="Noto Sans CJK SC"/>
        <family val="2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</si>
  <si>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月プレオープン〜翌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月。立ち上がり係数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青字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は月ごとに変更できます。税金・人件費・代表報酬は含みません。</t>
    </r>
  </si>
  <si>
    <t xml:space="preserve">単位</t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</si>
  <si>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月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</si>
  <si>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月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</si>
  <si>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月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</si>
  <si>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月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</si>
  <si>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月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</si>
  <si>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月</t>
    </r>
  </si>
  <si>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月</t>
    </r>
  </si>
  <si>
    <r>
      <rPr>
        <b val="true"/>
        <sz val="10"/>
        <rFont val="Arial"/>
        <family val="0"/>
        <charset val="1"/>
      </rPr>
      <t xml:space="preserve">7</t>
    </r>
    <r>
      <rPr>
        <b val="true"/>
        <sz val="10"/>
        <rFont val="WenQuanYi Zen Hei"/>
        <family val="2"/>
      </rPr>
      <t xml:space="preserve">月</t>
    </r>
  </si>
  <si>
    <r>
      <rPr>
        <b val="true"/>
        <sz val="10"/>
        <rFont val="Arial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月</t>
    </r>
  </si>
  <si>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月</t>
    </r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</si>
  <si>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</t>
    </r>
  </si>
  <si>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月</t>
    </r>
  </si>
  <si>
    <r>
      <rPr>
        <b val="true"/>
        <sz val="10"/>
        <rFont val="WenQuanYi Zen Hei"/>
        <family val="2"/>
      </rPr>
      <t xml:space="preserve">立ち上がり係数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共通</t>
    </r>
    <r>
      <rPr>
        <b val="true"/>
        <sz val="10"/>
        <rFont val="Noto Sans CJK SC"/>
        <family val="2"/>
        <charset val="1"/>
      </rPr>
      <t xml:space="preserve">)</t>
    </r>
  </si>
  <si>
    <t xml:space="preserve">【悲観シナリオ】</t>
  </si>
  <si>
    <t xml:space="preserve">立ち上がり係数</t>
  </si>
  <si>
    <t xml:space="preserve">%</t>
  </si>
  <si>
    <t xml:space="preserve">土日の新規来場</t>
  </si>
  <si>
    <t xml:space="preserve">組</t>
  </si>
  <si>
    <r>
      <rPr>
        <sz val="10"/>
        <color rgb="FF000000"/>
        <rFont val="WenQuanYi Zen Hei"/>
        <family val="2"/>
      </rPr>
      <t xml:space="preserve">新規の撮影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店舗</t>
    </r>
    <r>
      <rPr>
        <sz val="10"/>
        <color rgb="FF000000"/>
        <rFont val="Noto Sans CJK SC"/>
        <family val="2"/>
        <charset val="1"/>
      </rPr>
      <t xml:space="preserve">)</t>
    </r>
  </si>
  <si>
    <t xml:space="preserve">その他経路の撮影</t>
  </si>
  <si>
    <t xml:space="preserve">雑貨目当ての来店</t>
  </si>
  <si>
    <t xml:space="preserve">雑貨来店からの撮影</t>
  </si>
  <si>
    <t xml:space="preserve">新規撮影の合計</t>
  </si>
  <si>
    <r>
      <rPr>
        <sz val="10"/>
        <color rgb="FF000000"/>
        <rFont val="WenQuanYi Zen Hei"/>
        <family val="2"/>
      </rPr>
      <t xml:space="preserve">累計顧客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前月末</t>
    </r>
    <r>
      <rPr>
        <sz val="10"/>
        <color rgb="FF000000"/>
        <rFont val="Noto Sans CJK SC"/>
        <family val="2"/>
        <charset val="1"/>
      </rPr>
      <t xml:space="preserve">)</t>
    </r>
  </si>
  <si>
    <t xml:space="preserve">リピート撮影</t>
  </si>
  <si>
    <t xml:space="preserve">撮影組数 合計</t>
  </si>
  <si>
    <t xml:space="preserve">撮影売上</t>
  </si>
  <si>
    <t xml:space="preserve">円</t>
  </si>
  <si>
    <t xml:space="preserve">会員費</t>
  </si>
  <si>
    <t xml:space="preserve">雑貨売上</t>
  </si>
  <si>
    <t xml:space="preserve">レンタルケース</t>
  </si>
  <si>
    <t xml:space="preserve">売上合計</t>
  </si>
  <si>
    <t xml:space="preserve">雑貨の仕入原価</t>
  </si>
  <si>
    <t xml:space="preserve">家賃・その他経費</t>
  </si>
  <si>
    <r>
      <rPr>
        <sz val="10"/>
        <color rgb="FF000000"/>
        <rFont val="WenQuanYi Zen Hei"/>
        <family val="2"/>
      </rPr>
      <t xml:space="preserve">決算費用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月割</t>
    </r>
    <r>
      <rPr>
        <sz val="10"/>
        <color rgb="FF000000"/>
        <rFont val="Noto Sans CJK SC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</si>
  <si>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営業利益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返済前</t>
    </r>
    <r>
      <rPr>
        <b val="true"/>
        <sz val="10"/>
        <rFont val="Noto Sans CJK SC"/>
        <family val="2"/>
        <charset val="1"/>
      </rPr>
      <t xml:space="preserve">)</t>
    </r>
  </si>
  <si>
    <t xml:space="preserve">融資返済</t>
  </si>
  <si>
    <t xml:space="preserve">月間の資金増減</t>
  </si>
  <si>
    <t xml:space="preserve">月末の現金残高</t>
  </si>
  <si>
    <t xml:space="preserve">【標準シナリオ】</t>
  </si>
  <si>
    <t xml:space="preserve">【楽観シナリオ】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</si>
</sst>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#,##0;\(#,##0\);\-"/>
    <numFmt numFmtId="167" formatCode="0.0%;\(0.0%\);\-"/>
    <numFmt numFmtId="168" formatCode="0"/>
    <numFmt numFmtId="169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10"/>
      <color rgb="FF000000"/>
      <name val="WenQuanYi Zen Hei"/>
      <family val="2"/>
    </font>
    <font>
      <b val="true"/>
      <sz val="10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Noto Sans CJK SC"/>
      <family val="2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Noto Sans CJK SC"/>
      <family val="2"/>
      <charset val="1"/>
    </font>
    <font>
      <sz val="11"/>
      <color rgb="FF000000"/>
      <name val="WenQuanYi Zen Hei"/>
      <family val="2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4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6"/>
    <col collapsed="false" customWidth="true" hidden="false" outlineLevel="0" max="5" min="5" style="1" width="52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6" t="n">
        <f aca="false">月次予測!F16</f>
        <v>15.12</v>
      </c>
      <c r="C5" s="6" t="n">
        <f aca="false">月次予測!F41</f>
        <v>19.8414</v>
      </c>
      <c r="D5" s="6" t="n">
        <f aca="false">月次予測!F66</f>
        <v>25.1328</v>
      </c>
      <c r="E5" s="7" t="s">
        <v>8</v>
      </c>
    </row>
    <row r="6" customFormat="false" ht="15" hidden="false" customHeight="true" outlineLevel="0" collapsed="false">
      <c r="A6" s="5" t="s">
        <v>9</v>
      </c>
      <c r="B6" s="8" t="n">
        <f aca="false">月次予測!F21</f>
        <v>136124</v>
      </c>
      <c r="C6" s="8" t="n">
        <f aca="false">月次予測!F46</f>
        <v>181520.7</v>
      </c>
      <c r="D6" s="8" t="n">
        <f aca="false">月次予測!F71</f>
        <v>233238.4</v>
      </c>
      <c r="E6" s="3"/>
    </row>
    <row r="7" customFormat="false" ht="15" hidden="false" customHeight="true" outlineLevel="0" collapsed="false">
      <c r="A7" s="5" t="s">
        <v>10</v>
      </c>
      <c r="B7" s="8" t="n">
        <f aca="false">月次予測!F25</f>
        <v>-27576</v>
      </c>
      <c r="C7" s="8" t="n">
        <f aca="false">月次予測!F50</f>
        <v>14895.7</v>
      </c>
      <c r="D7" s="8" t="n">
        <f aca="false">月次予測!F75</f>
        <v>63238.4</v>
      </c>
      <c r="E7" s="7" t="s">
        <v>11</v>
      </c>
    </row>
    <row r="8" customFormat="false" ht="15" hidden="false" customHeight="true" outlineLevel="0" collapsed="false">
      <c r="A8" s="5" t="s">
        <v>12</v>
      </c>
      <c r="B8" s="8" t="n">
        <f aca="false">月次予測!F28</f>
        <v>2028311.26073424</v>
      </c>
      <c r="C8" s="8" t="n">
        <f aca="false">月次予測!F53</f>
        <v>2150432.76073424</v>
      </c>
      <c r="D8" s="8" t="n">
        <f aca="false">月次予測!F78</f>
        <v>2289233.66073424</v>
      </c>
      <c r="E8" s="3" t="s">
        <v>13</v>
      </c>
    </row>
    <row r="9" customFormat="false" ht="15" hidden="false" customHeight="true" outlineLevel="0" collapsed="false">
      <c r="A9" s="9" t="s">
        <v>14</v>
      </c>
      <c r="B9" s="6" t="n">
        <f aca="false">(前提!B21+前提!B22+前提!B23/12-前提!B15*前提!B16*前提!B17-前提!B19*前提!B20)/前提!B10</f>
        <v>29.6538461538462</v>
      </c>
      <c r="C9" s="6" t="n">
        <f aca="false">(前提!C21+前提!C22+前提!C23/12-前提!C15*前提!C16*前提!C17-前提!C19*前提!C20)/前提!C10</f>
        <v>26.2045454545455</v>
      </c>
      <c r="D9" s="6" t="n">
        <f aca="false">(前提!D21+前提!D22+前提!D23/12-前提!D15*前提!D16*前提!D17-前提!D19*前提!D20)/前提!D10</f>
        <v>21.3114754098361</v>
      </c>
      <c r="E9" s="3" t="s">
        <v>15</v>
      </c>
    </row>
    <row r="10" customFormat="false" ht="15" hidden="false" customHeight="true" outlineLevel="0" collapsed="false">
      <c r="A10" s="5" t="s">
        <v>16</v>
      </c>
      <c r="B10" s="8" t="n">
        <f aca="false">SUM(月次予測!C25:N25)</f>
        <v>-479328.4</v>
      </c>
      <c r="C10" s="8" t="n">
        <f aca="false">SUM(月次予測!C50:N50)</f>
        <v>-1125.29999999987</v>
      </c>
      <c r="D10" s="8" t="n">
        <f aca="false">SUM(月次予測!C75:N75)</f>
        <v>546125.2</v>
      </c>
      <c r="E10" s="3"/>
    </row>
    <row r="11" customFormat="false" ht="15" hidden="false" customHeight="true" outlineLevel="0" collapsed="false">
      <c r="A11" s="5" t="s">
        <v>17</v>
      </c>
      <c r="B11" s="8" t="n">
        <f aca="false">MIN(月次予測!C28:N28)</f>
        <v>1381766.58220271</v>
      </c>
      <c r="C11" s="8" t="n">
        <f aca="false">MIN(月次予測!C53:N53)</f>
        <v>1859969.68220271</v>
      </c>
      <c r="D11" s="8" t="n">
        <f aca="false">MIN(月次予測!C78:N78)</f>
        <v>2279237.34555068</v>
      </c>
      <c r="E11" s="3" t="s">
        <v>18</v>
      </c>
    </row>
    <row r="12" customFormat="false" ht="15" hidden="false" customHeight="true" outlineLevel="0" collapsed="false">
      <c r="A12" s="9" t="s">
        <v>19</v>
      </c>
      <c r="B12" s="8" t="n">
        <f aca="false">前提!B31</f>
        <v>2500000</v>
      </c>
      <c r="C12" s="8" t="n">
        <f aca="false">前提!C31</f>
        <v>2500000</v>
      </c>
      <c r="D12" s="8" t="n">
        <f aca="false">前提!D31</f>
        <v>2500000</v>
      </c>
      <c r="E12" s="3"/>
    </row>
    <row r="13" customFormat="false" ht="15" hidden="false" customHeight="true" outlineLevel="0" collapsed="false">
      <c r="A13" s="10" t="s">
        <v>20</v>
      </c>
      <c r="B13" s="11" t="str">
        <f aca="false">IF(B7&gt;=0,"トントン以上","赤字")</f>
        <v>赤字</v>
      </c>
      <c r="C13" s="11" t="str">
        <f aca="false">IF(C7&gt;=0,"トントン以上","赤字")</f>
        <v>トントン以上</v>
      </c>
      <c r="D13" s="11" t="str">
        <f aca="false">IF(D7&gt;=0,"トントン以上","赤字")</f>
        <v>トントン以上</v>
      </c>
    </row>
    <row r="15" customFormat="false" ht="15" hidden="false" customHeight="true" outlineLevel="0" collapsed="false">
      <c r="A15" s="12" t="s">
        <v>21</v>
      </c>
    </row>
    <row r="16" customFormat="false" ht="15" hidden="false" customHeight="true" outlineLevel="0" collapsed="false">
      <c r="A16" s="3" t="s">
        <v>22</v>
      </c>
    </row>
    <row r="17" customFormat="false" ht="15" hidden="false" customHeight="true" outlineLevel="0" collapsed="false">
      <c r="A17" s="3" t="s">
        <v>23</v>
      </c>
    </row>
    <row r="18" customFormat="false" ht="15" hidden="false" customHeight="true" outlineLevel="0" collapsed="false">
      <c r="A18" s="3" t="s">
        <v>24</v>
      </c>
    </row>
    <row r="19" customFormat="false" ht="15" hidden="false" customHeight="true" outlineLevel="0" collapsed="false">
      <c r="A19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4"/>
    <col collapsed="false" customWidth="true" hidden="false" outlineLevel="0" max="5" min="5" style="1" width="80"/>
  </cols>
  <sheetData>
    <row r="1" customFormat="false" ht="21" hidden="false" customHeight="true" outlineLevel="0" collapsed="false">
      <c r="A1" s="2" t="s">
        <v>26</v>
      </c>
    </row>
    <row r="2" customFormat="false" ht="15" hidden="false" customHeight="true" outlineLevel="0" collapsed="false">
      <c r="A2" s="3" t="s">
        <v>27</v>
      </c>
    </row>
    <row r="4" customFormat="false" ht="15" hidden="false" customHeight="true" outlineLevel="0" collapsed="false">
      <c r="A4" s="4" t="s">
        <v>28</v>
      </c>
      <c r="B4" s="4" t="s">
        <v>3</v>
      </c>
      <c r="C4" s="4" t="s">
        <v>4</v>
      </c>
      <c r="D4" s="4" t="s">
        <v>5</v>
      </c>
      <c r="E4" s="4" t="s">
        <v>29</v>
      </c>
    </row>
    <row r="5" customFormat="false" ht="15" hidden="false" customHeight="true" outlineLevel="0" collapsed="false">
      <c r="A5" s="9" t="s">
        <v>30</v>
      </c>
      <c r="B5" s="13" t="n">
        <v>40</v>
      </c>
      <c r="C5" s="13" t="n">
        <v>50</v>
      </c>
      <c r="D5" s="13" t="n">
        <v>60</v>
      </c>
      <c r="E5" s="3" t="s">
        <v>31</v>
      </c>
    </row>
    <row r="6" customFormat="false" ht="15" hidden="false" customHeight="true" outlineLevel="0" collapsed="false">
      <c r="A6" s="9" t="s">
        <v>32</v>
      </c>
      <c r="B6" s="13" t="n">
        <v>8</v>
      </c>
      <c r="C6" s="13" t="n">
        <v>8.5</v>
      </c>
      <c r="D6" s="13" t="n">
        <v>9</v>
      </c>
      <c r="E6" s="3" t="s">
        <v>33</v>
      </c>
    </row>
    <row r="7" customFormat="false" ht="15" hidden="false" customHeight="true" outlineLevel="0" collapsed="false">
      <c r="A7" s="9" t="s">
        <v>34</v>
      </c>
      <c r="B7" s="14" t="n">
        <v>0.2</v>
      </c>
      <c r="C7" s="14" t="n">
        <v>0.25</v>
      </c>
      <c r="D7" s="14" t="n">
        <v>0.3</v>
      </c>
      <c r="E7" s="3" t="s">
        <v>35</v>
      </c>
    </row>
    <row r="8" customFormat="false" ht="15" hidden="false" customHeight="true" outlineLevel="0" collapsed="false">
      <c r="A8" s="9" t="s">
        <v>36</v>
      </c>
      <c r="B8" s="15" t="n">
        <v>0.08</v>
      </c>
      <c r="C8" s="15" t="n">
        <v>0.12</v>
      </c>
      <c r="D8" s="15" t="n">
        <v>0.18</v>
      </c>
      <c r="E8" s="3" t="s">
        <v>37</v>
      </c>
    </row>
    <row r="9" customFormat="false" ht="15" hidden="false" customHeight="true" outlineLevel="0" collapsed="false">
      <c r="A9" s="9" t="s">
        <v>38</v>
      </c>
      <c r="B9" s="16" t="n">
        <v>0</v>
      </c>
      <c r="C9" s="16" t="n">
        <v>2</v>
      </c>
      <c r="D9" s="16" t="n">
        <v>4</v>
      </c>
      <c r="E9" s="3" t="s">
        <v>39</v>
      </c>
    </row>
    <row r="10" customFormat="false" ht="15" hidden="false" customHeight="true" outlineLevel="0" collapsed="false">
      <c r="A10" s="9" t="s">
        <v>40</v>
      </c>
      <c r="B10" s="17" t="n">
        <v>5200</v>
      </c>
      <c r="C10" s="17" t="n">
        <v>5500</v>
      </c>
      <c r="D10" s="17" t="n">
        <v>6100</v>
      </c>
      <c r="E10" s="3" t="s">
        <v>41</v>
      </c>
    </row>
    <row r="11" customFormat="false" ht="15" hidden="false" customHeight="true" outlineLevel="0" collapsed="false">
      <c r="A11" s="9" t="s">
        <v>42</v>
      </c>
      <c r="B11" s="15" t="n">
        <v>0</v>
      </c>
      <c r="C11" s="15" t="n">
        <v>0.05</v>
      </c>
      <c r="D11" s="15" t="n">
        <v>0.1</v>
      </c>
      <c r="E11" s="3" t="s">
        <v>43</v>
      </c>
    </row>
    <row r="12" customFormat="false" ht="15" hidden="false" customHeight="true" outlineLevel="0" collapsed="false">
      <c r="A12" s="9" t="s">
        <v>44</v>
      </c>
      <c r="B12" s="15" t="n">
        <v>0.8</v>
      </c>
      <c r="C12" s="15" t="n">
        <v>0.85</v>
      </c>
      <c r="D12" s="15" t="n">
        <v>0.9</v>
      </c>
      <c r="E12" s="3" t="s">
        <v>45</v>
      </c>
    </row>
    <row r="13" customFormat="false" ht="15" hidden="false" customHeight="true" outlineLevel="0" collapsed="false">
      <c r="A13" s="9" t="s">
        <v>46</v>
      </c>
      <c r="B13" s="15" t="n">
        <v>0</v>
      </c>
      <c r="C13" s="15" t="n">
        <v>0.05</v>
      </c>
      <c r="D13" s="15" t="n">
        <v>0.1</v>
      </c>
      <c r="E13" s="3" t="s">
        <v>47</v>
      </c>
    </row>
    <row r="14" customFormat="false" ht="15" hidden="false" customHeight="true" outlineLevel="0" collapsed="false">
      <c r="A14" s="9" t="s">
        <v>48</v>
      </c>
      <c r="B14" s="18" t="n">
        <v>500</v>
      </c>
      <c r="C14" s="18" t="n">
        <v>500</v>
      </c>
      <c r="D14" s="18" t="n">
        <v>500</v>
      </c>
      <c r="E14" s="3" t="s">
        <v>49</v>
      </c>
    </row>
    <row r="15" customFormat="false" ht="15" hidden="false" customHeight="true" outlineLevel="0" collapsed="false">
      <c r="A15" s="9" t="s">
        <v>50</v>
      </c>
      <c r="B15" s="16" t="n">
        <v>1</v>
      </c>
      <c r="C15" s="16" t="n">
        <v>3</v>
      </c>
      <c r="D15" s="16" t="n">
        <v>5</v>
      </c>
      <c r="E15" s="3" t="s">
        <v>51</v>
      </c>
    </row>
    <row r="16" customFormat="false" ht="15" hidden="false" customHeight="true" outlineLevel="0" collapsed="false">
      <c r="A16" s="9" t="s">
        <v>52</v>
      </c>
      <c r="B16" s="18" t="n">
        <v>2000</v>
      </c>
      <c r="C16" s="18" t="n">
        <v>2500</v>
      </c>
      <c r="D16" s="18" t="n">
        <v>3000</v>
      </c>
      <c r="E16" s="3" t="s">
        <v>53</v>
      </c>
    </row>
    <row r="17" customFormat="false" ht="15" hidden="false" customHeight="true" outlineLevel="0" collapsed="false">
      <c r="A17" s="9" t="s">
        <v>54</v>
      </c>
      <c r="B17" s="15" t="n">
        <v>0.4</v>
      </c>
      <c r="C17" s="15" t="n">
        <v>0.45</v>
      </c>
      <c r="D17" s="15" t="n">
        <v>0.5</v>
      </c>
      <c r="E17" s="3" t="s">
        <v>55</v>
      </c>
    </row>
    <row r="18" customFormat="false" ht="15" hidden="false" customHeight="true" outlineLevel="0" collapsed="false">
      <c r="A18" s="9" t="s">
        <v>56</v>
      </c>
      <c r="B18" s="15" t="n">
        <v>0</v>
      </c>
      <c r="C18" s="15" t="n">
        <v>0.1</v>
      </c>
      <c r="D18" s="15" t="n">
        <v>0.2</v>
      </c>
      <c r="E18" s="3" t="s">
        <v>53</v>
      </c>
    </row>
    <row r="19" customFormat="false" ht="15" hidden="false" customHeight="true" outlineLevel="0" collapsed="false">
      <c r="A19" s="9" t="s">
        <v>57</v>
      </c>
      <c r="B19" s="16" t="n">
        <v>3</v>
      </c>
      <c r="C19" s="16" t="n">
        <v>6</v>
      </c>
      <c r="D19" s="16" t="n">
        <v>10</v>
      </c>
      <c r="E19" s="3" t="s">
        <v>58</v>
      </c>
    </row>
    <row r="20" customFormat="false" ht="15" hidden="false" customHeight="true" outlineLevel="0" collapsed="false">
      <c r="A20" s="9" t="s">
        <v>59</v>
      </c>
      <c r="B20" s="17" t="n">
        <v>2500</v>
      </c>
      <c r="C20" s="17" t="n">
        <v>2500</v>
      </c>
      <c r="D20" s="17" t="n">
        <v>2500</v>
      </c>
      <c r="E20" s="3" t="s">
        <v>60</v>
      </c>
    </row>
    <row r="21" customFormat="false" ht="15" hidden="false" customHeight="true" outlineLevel="0" collapsed="false">
      <c r="A21" s="9" t="s">
        <v>61</v>
      </c>
      <c r="B21" s="17" t="n">
        <v>50000</v>
      </c>
      <c r="C21" s="17" t="n">
        <v>50000</v>
      </c>
      <c r="D21" s="17" t="n">
        <v>50000</v>
      </c>
      <c r="E21" s="3" t="s">
        <v>62</v>
      </c>
    </row>
    <row r="22" customFormat="false" ht="15" hidden="false" customHeight="true" outlineLevel="0" collapsed="false">
      <c r="A22" s="9" t="s">
        <v>63</v>
      </c>
      <c r="B22" s="17" t="n">
        <v>100000</v>
      </c>
      <c r="C22" s="17" t="n">
        <v>100000</v>
      </c>
      <c r="D22" s="17" t="n">
        <v>100000</v>
      </c>
      <c r="E22" s="3" t="s">
        <v>64</v>
      </c>
    </row>
    <row r="23" customFormat="false" ht="15" hidden="false" customHeight="true" outlineLevel="0" collapsed="false">
      <c r="A23" s="9" t="s">
        <v>65</v>
      </c>
      <c r="B23" s="17" t="n">
        <v>150000</v>
      </c>
      <c r="C23" s="17" t="n">
        <v>150000</v>
      </c>
      <c r="D23" s="17" t="n">
        <v>150000</v>
      </c>
      <c r="E23" s="3" t="s">
        <v>66</v>
      </c>
    </row>
    <row r="24" customFormat="false" ht="15" hidden="false" customHeight="true" outlineLevel="0" collapsed="false">
      <c r="A24" s="9" t="s">
        <v>67</v>
      </c>
      <c r="B24" s="18" t="n">
        <v>1000000</v>
      </c>
      <c r="C24" s="18" t="n">
        <v>1000000</v>
      </c>
      <c r="D24" s="18" t="n">
        <v>1000000</v>
      </c>
      <c r="E24" s="3" t="s">
        <v>68</v>
      </c>
    </row>
    <row r="25" customFormat="false" ht="15" hidden="false" customHeight="true" outlineLevel="0" collapsed="false">
      <c r="A25" s="9" t="s">
        <v>69</v>
      </c>
      <c r="B25" s="17" t="n">
        <v>3000000</v>
      </c>
      <c r="C25" s="17" t="n">
        <v>3000000</v>
      </c>
      <c r="D25" s="17" t="n">
        <v>3000000</v>
      </c>
      <c r="E25" s="3" t="s">
        <v>70</v>
      </c>
    </row>
    <row r="26" customFormat="false" ht="15" hidden="false" customHeight="true" outlineLevel="0" collapsed="false">
      <c r="A26" s="9" t="s">
        <v>71</v>
      </c>
      <c r="B26" s="17" t="n">
        <v>1000000</v>
      </c>
      <c r="C26" s="17" t="n">
        <v>1000000</v>
      </c>
      <c r="D26" s="17" t="n">
        <v>1000000</v>
      </c>
      <c r="E26" s="3" t="s">
        <v>72</v>
      </c>
    </row>
    <row r="27" customFormat="false" ht="15" hidden="false" customHeight="true" outlineLevel="0" collapsed="false">
      <c r="A27" s="9" t="s">
        <v>73</v>
      </c>
      <c r="B27" s="18" t="n">
        <v>500000</v>
      </c>
      <c r="C27" s="18" t="n">
        <v>500000</v>
      </c>
      <c r="D27" s="18" t="n">
        <v>500000</v>
      </c>
      <c r="E27" s="3" t="s">
        <v>74</v>
      </c>
    </row>
    <row r="28" customFormat="false" ht="15" hidden="false" customHeight="true" outlineLevel="0" collapsed="false">
      <c r="A28" s="9" t="s">
        <v>75</v>
      </c>
      <c r="B28" s="15" t="n">
        <v>0.025</v>
      </c>
      <c r="C28" s="15" t="n">
        <v>0.025</v>
      </c>
      <c r="D28" s="15" t="n">
        <v>0.025</v>
      </c>
      <c r="E28" s="3" t="s">
        <v>76</v>
      </c>
    </row>
    <row r="29" customFormat="false" ht="15" hidden="false" customHeight="true" outlineLevel="0" collapsed="false">
      <c r="A29" s="9" t="s">
        <v>77</v>
      </c>
      <c r="B29" s="19" t="n">
        <v>5</v>
      </c>
      <c r="C29" s="19" t="n">
        <v>5</v>
      </c>
      <c r="D29" s="19" t="n">
        <v>5</v>
      </c>
      <c r="E29" s="3" t="s">
        <v>78</v>
      </c>
    </row>
    <row r="30" customFormat="false" ht="15" hidden="false" customHeight="true" outlineLevel="0" collapsed="false">
      <c r="A30" s="12" t="s">
        <v>79</v>
      </c>
      <c r="B30" s="20" t="n">
        <f aca="false">PMT(B28/12,B29*12,-B25)</f>
        <v>53242.0848164408</v>
      </c>
      <c r="C30" s="20" t="n">
        <f aca="false">PMT(C28/12,C29*12,-C25)</f>
        <v>53242.0848164408</v>
      </c>
      <c r="D30" s="20" t="n">
        <f aca="false">PMT(D28/12,D29*12,-D25)</f>
        <v>53242.0848164408</v>
      </c>
      <c r="E30" s="3" t="s">
        <v>80</v>
      </c>
    </row>
    <row r="31" customFormat="false" ht="15" hidden="false" customHeight="true" outlineLevel="0" collapsed="false">
      <c r="A31" s="12" t="s">
        <v>81</v>
      </c>
      <c r="B31" s="20" t="n">
        <f aca="false">B24+B25-B26-B27</f>
        <v>2500000</v>
      </c>
      <c r="C31" s="20" t="n">
        <f aca="false">C24+C25-C26-C27</f>
        <v>2500000</v>
      </c>
      <c r="D31" s="20" t="n">
        <f aca="false">D24+D25-D26-D27</f>
        <v>2500000</v>
      </c>
      <c r="E31" s="3" t="s">
        <v>82</v>
      </c>
    </row>
    <row r="33" customFormat="false" ht="15" hidden="false" customHeight="false" outlineLevel="0" collapsed="false">
      <c r="A33" s="21" t="s">
        <v>83</v>
      </c>
      <c r="B33" s="22" t="n">
        <v>0.5</v>
      </c>
      <c r="C33" s="22" t="n">
        <v>0.65</v>
      </c>
      <c r="D33" s="22" t="n">
        <v>0.8</v>
      </c>
      <c r="E33" s="21" t="s">
        <v>84</v>
      </c>
    </row>
    <row r="34" customFormat="false" ht="15" hidden="false" customHeight="false" outlineLevel="0" collapsed="false">
      <c r="A34" s="21" t="s">
        <v>85</v>
      </c>
      <c r="B34" s="22" t="n">
        <v>20</v>
      </c>
      <c r="C34" s="22" t="n">
        <v>20</v>
      </c>
      <c r="D34" s="22" t="n">
        <v>20</v>
      </c>
      <c r="E34" s="21" t="s">
        <v>86</v>
      </c>
    </row>
    <row r="35" customFormat="false" ht="15" hidden="false" customHeight="false" outlineLevel="0" collapsed="false">
      <c r="A35" s="21" t="s">
        <v>87</v>
      </c>
      <c r="B35" s="22" t="n">
        <v>10000</v>
      </c>
      <c r="C35" s="22" t="n">
        <v>10000</v>
      </c>
      <c r="D35" s="22" t="n">
        <v>10000</v>
      </c>
      <c r="E35" s="21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6"/>
    <col collapsed="false" customWidth="true" hidden="false" outlineLevel="0" max="14" min="3" style="1" width="12"/>
  </cols>
  <sheetData>
    <row r="1" customFormat="false" ht="21" hidden="false" customHeight="true" outlineLevel="0" collapsed="false">
      <c r="A1" s="23" t="s">
        <v>89</v>
      </c>
    </row>
    <row r="2" customFormat="false" ht="15" hidden="false" customHeight="true" outlineLevel="0" collapsed="false">
      <c r="A2" s="7" t="s">
        <v>90</v>
      </c>
    </row>
    <row r="3" customFormat="false" ht="15" hidden="false" customHeight="true" outlineLevel="0" collapsed="false">
      <c r="A3" s="24" t="s">
        <v>28</v>
      </c>
      <c r="B3" s="24" t="s">
        <v>91</v>
      </c>
      <c r="C3" s="25" t="s">
        <v>92</v>
      </c>
      <c r="D3" s="25" t="s">
        <v>93</v>
      </c>
      <c r="E3" s="25" t="s">
        <v>94</v>
      </c>
      <c r="F3" s="25" t="s">
        <v>95</v>
      </c>
      <c r="G3" s="25" t="s">
        <v>96</v>
      </c>
      <c r="H3" s="25" t="s">
        <v>97</v>
      </c>
      <c r="I3" s="25" t="s">
        <v>98</v>
      </c>
      <c r="J3" s="25" t="s">
        <v>99</v>
      </c>
      <c r="K3" s="25" t="s">
        <v>100</v>
      </c>
      <c r="L3" s="25" t="s">
        <v>101</v>
      </c>
      <c r="M3" s="25" t="s">
        <v>102</v>
      </c>
      <c r="N3" s="25" t="s">
        <v>103</v>
      </c>
    </row>
    <row r="4" customFormat="false" ht="15" hidden="false" customHeight="true" outlineLevel="0" collapsed="false">
      <c r="A4" s="12" t="s">
        <v>104</v>
      </c>
      <c r="C4" s="26" t="n">
        <v>0.3</v>
      </c>
      <c r="D4" s="26" t="n">
        <v>0.7</v>
      </c>
      <c r="E4" s="26" t="n">
        <v>0.9</v>
      </c>
      <c r="F4" s="26" t="n">
        <v>1</v>
      </c>
      <c r="G4" s="26" t="n">
        <v>1</v>
      </c>
      <c r="H4" s="26" t="n">
        <v>1</v>
      </c>
      <c r="I4" s="26" t="n">
        <v>1</v>
      </c>
      <c r="J4" s="26" t="n">
        <v>1</v>
      </c>
      <c r="K4" s="26" t="n">
        <v>1</v>
      </c>
      <c r="L4" s="26" t="n">
        <v>1</v>
      </c>
      <c r="M4" s="26" t="n">
        <v>1</v>
      </c>
      <c r="N4" s="26" t="n">
        <v>1</v>
      </c>
    </row>
    <row r="6" customFormat="false" ht="15" hidden="false" customHeight="true" outlineLevel="0" collapsed="false">
      <c r="A6" s="27" t="s">
        <v>105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customFormat="false" ht="15" hidden="false" customHeight="true" outlineLevel="0" collapsed="false">
      <c r="A7" s="3" t="s">
        <v>106</v>
      </c>
      <c r="B7" s="7" t="s">
        <v>107</v>
      </c>
      <c r="C7" s="29" t="n">
        <f aca="false">C$4</f>
        <v>0.3</v>
      </c>
      <c r="D7" s="29" t="n">
        <f aca="false">D$4</f>
        <v>0.7</v>
      </c>
      <c r="E7" s="29" t="n">
        <f aca="false">E$4</f>
        <v>0.9</v>
      </c>
      <c r="F7" s="29" t="n">
        <f aca="false">F$4</f>
        <v>1</v>
      </c>
      <c r="G7" s="29" t="n">
        <f aca="false">G$4</f>
        <v>1</v>
      </c>
      <c r="H7" s="29" t="n">
        <f aca="false">H$4</f>
        <v>1</v>
      </c>
      <c r="I7" s="29" t="n">
        <f aca="false">I$4</f>
        <v>1</v>
      </c>
      <c r="J7" s="29" t="n">
        <f aca="false">J$4</f>
        <v>1</v>
      </c>
      <c r="K7" s="29" t="n">
        <f aca="false">K$4</f>
        <v>1</v>
      </c>
      <c r="L7" s="29" t="n">
        <f aca="false">L$4</f>
        <v>1</v>
      </c>
      <c r="M7" s="29" t="n">
        <f aca="false">M$4</f>
        <v>1</v>
      </c>
      <c r="N7" s="29" t="n">
        <f aca="false">N$4</f>
        <v>1</v>
      </c>
    </row>
    <row r="8" customFormat="false" ht="15" hidden="false" customHeight="true" outlineLevel="0" collapsed="false">
      <c r="A8" s="3" t="s">
        <v>108</v>
      </c>
      <c r="B8" s="3" t="s">
        <v>109</v>
      </c>
      <c r="C8" s="30" t="n">
        <f aca="false">前提!$B$5*前提!$B$6*前提!$B$7</f>
        <v>64</v>
      </c>
      <c r="D8" s="30" t="n">
        <f aca="false">前提!$B$5*前提!$B$6*前提!$B$7</f>
        <v>64</v>
      </c>
      <c r="E8" s="30" t="n">
        <f aca="false">前提!$B$5*前提!$B$6*前提!$B$7</f>
        <v>64</v>
      </c>
      <c r="F8" s="30" t="n">
        <f aca="false">前提!$B$5*前提!$B$6*前提!$B$7</f>
        <v>64</v>
      </c>
      <c r="G8" s="30" t="n">
        <f aca="false">前提!$B$5*前提!$B$6*前提!$B$7</f>
        <v>64</v>
      </c>
      <c r="H8" s="30" t="n">
        <f aca="false">前提!$B$5*前提!$B$6*前提!$B$7</f>
        <v>64</v>
      </c>
      <c r="I8" s="30" t="n">
        <f aca="false">前提!$B$5*前提!$B$6*前提!$B$7</f>
        <v>64</v>
      </c>
      <c r="J8" s="30" t="n">
        <f aca="false">前提!$B$5*前提!$B$6*前提!$B$7</f>
        <v>64</v>
      </c>
      <c r="K8" s="30" t="n">
        <f aca="false">前提!$B$5*前提!$B$6*前提!$B$7</f>
        <v>64</v>
      </c>
      <c r="L8" s="30" t="n">
        <f aca="false">前提!$B$5*前提!$B$6*前提!$B$7</f>
        <v>64</v>
      </c>
      <c r="M8" s="30" t="n">
        <f aca="false">前提!$B$5*前提!$B$6*前提!$B$7</f>
        <v>64</v>
      </c>
      <c r="N8" s="30" t="n">
        <f aca="false">前提!$B$5*前提!$B$6*前提!$B$7</f>
        <v>64</v>
      </c>
    </row>
    <row r="9" customFormat="false" ht="15" hidden="false" customHeight="true" outlineLevel="0" collapsed="false">
      <c r="A9" s="3" t="s">
        <v>110</v>
      </c>
      <c r="B9" s="3" t="s">
        <v>109</v>
      </c>
      <c r="C9" s="30" t="n">
        <f aca="false">C8*前提!$B$8*C7</f>
        <v>1.536</v>
      </c>
      <c r="D9" s="30" t="n">
        <f aca="false">D8*前提!$B$8*D7</f>
        <v>3.584</v>
      </c>
      <c r="E9" s="30" t="n">
        <f aca="false">E8*前提!$B$8*E7</f>
        <v>4.608</v>
      </c>
      <c r="F9" s="30" t="n">
        <f aca="false">F8*前提!$B$8*F7</f>
        <v>5.12</v>
      </c>
      <c r="G9" s="30" t="n">
        <f aca="false">G8*前提!$B$8*G7</f>
        <v>5.12</v>
      </c>
      <c r="H9" s="30" t="n">
        <f aca="false">H8*前提!$B$8*H7</f>
        <v>5.12</v>
      </c>
      <c r="I9" s="30" t="n">
        <f aca="false">I8*前提!$B$8*I7</f>
        <v>5.12</v>
      </c>
      <c r="J9" s="30" t="n">
        <f aca="false">J8*前提!$B$8*J7</f>
        <v>5.12</v>
      </c>
      <c r="K9" s="30" t="n">
        <f aca="false">K8*前提!$B$8*K7</f>
        <v>5.12</v>
      </c>
      <c r="L9" s="30" t="n">
        <f aca="false">L8*前提!$B$8*L7</f>
        <v>5.12</v>
      </c>
      <c r="M9" s="30" t="n">
        <f aca="false">M8*前提!$B$8*M7</f>
        <v>5.12</v>
      </c>
      <c r="N9" s="30" t="n">
        <f aca="false">N8*前提!$B$8*N7</f>
        <v>5.12</v>
      </c>
    </row>
    <row r="10" customFormat="false" ht="15" hidden="false" customHeight="true" outlineLevel="0" collapsed="false">
      <c r="A10" s="3" t="s">
        <v>111</v>
      </c>
      <c r="B10" s="3" t="s">
        <v>109</v>
      </c>
      <c r="C10" s="30" t="n">
        <f aca="false">前提!$B$9*C7</f>
        <v>0</v>
      </c>
      <c r="D10" s="30" t="n">
        <f aca="false">前提!$B$9*D7</f>
        <v>0</v>
      </c>
      <c r="E10" s="30" t="n">
        <f aca="false">前提!$B$9*E7</f>
        <v>0</v>
      </c>
      <c r="F10" s="30" t="n">
        <f aca="false">前提!$B$9*F7</f>
        <v>0</v>
      </c>
      <c r="G10" s="30" t="n">
        <f aca="false">前提!$B$9*G7</f>
        <v>0</v>
      </c>
      <c r="H10" s="30" t="n">
        <f aca="false">前提!$B$9*H7</f>
        <v>0</v>
      </c>
      <c r="I10" s="30" t="n">
        <f aca="false">前提!$B$9*I7</f>
        <v>0</v>
      </c>
      <c r="J10" s="30" t="n">
        <f aca="false">前提!$B$9*J7</f>
        <v>0</v>
      </c>
      <c r="K10" s="30" t="n">
        <f aca="false">前提!$B$9*K7</f>
        <v>0</v>
      </c>
      <c r="L10" s="30" t="n">
        <f aca="false">前提!$B$9*L7</f>
        <v>0</v>
      </c>
      <c r="M10" s="30" t="n">
        <f aca="false">前提!$B$9*M7</f>
        <v>0</v>
      </c>
      <c r="N10" s="30" t="n">
        <f aca="false">前提!$B$9*N7</f>
        <v>0</v>
      </c>
    </row>
    <row r="11" customFormat="false" ht="15" hidden="false" customHeight="true" outlineLevel="0" collapsed="false">
      <c r="A11" s="3" t="s">
        <v>112</v>
      </c>
      <c r="B11" s="3" t="s">
        <v>109</v>
      </c>
      <c r="C11" s="30" t="n">
        <f aca="false">前提!$B$15*C7</f>
        <v>0.3</v>
      </c>
      <c r="D11" s="30" t="n">
        <f aca="false">前提!$B$15*D7</f>
        <v>0.7</v>
      </c>
      <c r="E11" s="30" t="n">
        <f aca="false">前提!$B$15*E7</f>
        <v>0.9</v>
      </c>
      <c r="F11" s="30" t="n">
        <f aca="false">前提!$B$15*F7</f>
        <v>1</v>
      </c>
      <c r="G11" s="30" t="n">
        <f aca="false">前提!$B$15*G7</f>
        <v>1</v>
      </c>
      <c r="H11" s="30" t="n">
        <f aca="false">前提!$B$15*H7</f>
        <v>1</v>
      </c>
      <c r="I11" s="30" t="n">
        <f aca="false">前提!$B$15*I7</f>
        <v>1</v>
      </c>
      <c r="J11" s="30" t="n">
        <f aca="false">前提!$B$15*J7</f>
        <v>1</v>
      </c>
      <c r="K11" s="30" t="n">
        <f aca="false">前提!$B$15*K7</f>
        <v>1</v>
      </c>
      <c r="L11" s="30" t="n">
        <f aca="false">前提!$B$15*L7</f>
        <v>1</v>
      </c>
      <c r="M11" s="30" t="n">
        <f aca="false">前提!$B$15*M7</f>
        <v>1</v>
      </c>
      <c r="N11" s="30" t="n">
        <f aca="false">前提!$B$15*N7</f>
        <v>1</v>
      </c>
    </row>
    <row r="12" customFormat="false" ht="15" hidden="false" customHeight="true" outlineLevel="0" collapsed="false">
      <c r="A12" s="3" t="s">
        <v>113</v>
      </c>
      <c r="B12" s="3" t="s">
        <v>109</v>
      </c>
      <c r="C12" s="30" t="n">
        <f aca="false">C11*前提!$B$18</f>
        <v>0</v>
      </c>
      <c r="D12" s="30" t="n">
        <f aca="false">D11*前提!$B$18</f>
        <v>0</v>
      </c>
      <c r="E12" s="30" t="n">
        <f aca="false">E11*前提!$B$18</f>
        <v>0</v>
      </c>
      <c r="F12" s="30" t="n">
        <f aca="false">F11*前提!$B$18</f>
        <v>0</v>
      </c>
      <c r="G12" s="30" t="n">
        <f aca="false">G11*前提!$B$18</f>
        <v>0</v>
      </c>
      <c r="H12" s="30" t="n">
        <f aca="false">H11*前提!$B$18</f>
        <v>0</v>
      </c>
      <c r="I12" s="30" t="n">
        <f aca="false">I11*前提!$B$18</f>
        <v>0</v>
      </c>
      <c r="J12" s="30" t="n">
        <f aca="false">J11*前提!$B$18</f>
        <v>0</v>
      </c>
      <c r="K12" s="30" t="n">
        <f aca="false">K11*前提!$B$18</f>
        <v>0</v>
      </c>
      <c r="L12" s="30" t="n">
        <f aca="false">L11*前提!$B$18</f>
        <v>0</v>
      </c>
      <c r="M12" s="30" t="n">
        <f aca="false">M11*前提!$B$18</f>
        <v>0</v>
      </c>
      <c r="N12" s="30" t="n">
        <f aca="false">N11*前提!$B$18</f>
        <v>0</v>
      </c>
    </row>
    <row r="13" customFormat="false" ht="15" hidden="false" customHeight="true" outlineLevel="0" collapsed="false">
      <c r="A13" s="3" t="s">
        <v>114</v>
      </c>
      <c r="B13" s="3" t="s">
        <v>109</v>
      </c>
      <c r="C13" s="30" t="n">
        <f aca="false">C9+C10+C12+前提!$B$33*前提!$B$34*C7</f>
        <v>4.536</v>
      </c>
      <c r="D13" s="30" t="n">
        <f aca="false">D9+D10+D12+前提!$B$33*前提!$B$34*D7</f>
        <v>10.584</v>
      </c>
      <c r="E13" s="30" t="n">
        <f aca="false">E9+E10+E12+前提!$B$33*前提!$B$34*E7</f>
        <v>13.608</v>
      </c>
      <c r="F13" s="30" t="n">
        <f aca="false">F9+F10+F12+前提!$B$33*前提!$B$34*F7</f>
        <v>15.12</v>
      </c>
      <c r="G13" s="30" t="n">
        <f aca="false">G9+G10+G12+前提!$B$33*前提!$B$34*G7</f>
        <v>15.12</v>
      </c>
      <c r="H13" s="30" t="n">
        <f aca="false">H9+H10+H12+前提!$B$33*前提!$B$34*H7</f>
        <v>15.12</v>
      </c>
      <c r="I13" s="30" t="n">
        <f aca="false">I9+I10+I12+前提!$B$33*前提!$B$34*I7</f>
        <v>15.12</v>
      </c>
      <c r="J13" s="30" t="n">
        <f aca="false">J9+J10+J12+前提!$B$33*前提!$B$34*J7</f>
        <v>15.12</v>
      </c>
      <c r="K13" s="30" t="n">
        <f aca="false">K9+K10+K12+前提!$B$33*前提!$B$34*K7</f>
        <v>15.12</v>
      </c>
      <c r="L13" s="30" t="n">
        <f aca="false">L9+L10+L12+前提!$B$33*前提!$B$34*L7</f>
        <v>15.12</v>
      </c>
      <c r="M13" s="30" t="n">
        <f aca="false">M9+M10+M12+前提!$B$33*前提!$B$34*M7</f>
        <v>15.12</v>
      </c>
      <c r="N13" s="30" t="n">
        <f aca="false">N9+N10+N12+前提!$B$33*前提!$B$34*N7</f>
        <v>15.12</v>
      </c>
    </row>
    <row r="14" customFormat="false" ht="15" hidden="false" customHeight="true" outlineLevel="0" collapsed="false">
      <c r="A14" s="3" t="s">
        <v>115</v>
      </c>
      <c r="B14" s="3" t="s">
        <v>109</v>
      </c>
      <c r="C14" s="30" t="n">
        <f aca="false">0</f>
        <v>0</v>
      </c>
      <c r="D14" s="30" t="n">
        <f aca="false">C14+C13</f>
        <v>4.536</v>
      </c>
      <c r="E14" s="30" t="n">
        <f aca="false">D14+D13</f>
        <v>15.12</v>
      </c>
      <c r="F14" s="30" t="n">
        <f aca="false">E14+E13</f>
        <v>28.728</v>
      </c>
      <c r="G14" s="30" t="n">
        <f aca="false">F14+F13</f>
        <v>43.848</v>
      </c>
      <c r="H14" s="30" t="n">
        <f aca="false">G14+G13</f>
        <v>58.968</v>
      </c>
      <c r="I14" s="30" t="n">
        <f aca="false">H14+H13</f>
        <v>74.088</v>
      </c>
      <c r="J14" s="30" t="n">
        <f aca="false">I14+I13</f>
        <v>89.208</v>
      </c>
      <c r="K14" s="30" t="n">
        <f aca="false">J14+J13</f>
        <v>104.328</v>
      </c>
      <c r="L14" s="30" t="n">
        <f aca="false">K14+K13</f>
        <v>119.448</v>
      </c>
      <c r="M14" s="30" t="n">
        <f aca="false">L14+L13</f>
        <v>134.568</v>
      </c>
      <c r="N14" s="30" t="n">
        <f aca="false">M14+M13</f>
        <v>149.688</v>
      </c>
    </row>
    <row r="15" customFormat="false" ht="15" hidden="false" customHeight="true" outlineLevel="0" collapsed="false">
      <c r="A15" s="3" t="s">
        <v>116</v>
      </c>
      <c r="B15" s="3" t="s">
        <v>109</v>
      </c>
      <c r="C15" s="30" t="n">
        <f aca="false">C14*前提!$B$11</f>
        <v>0</v>
      </c>
      <c r="D15" s="30" t="n">
        <f aca="false">D14*前提!$B$11</f>
        <v>0</v>
      </c>
      <c r="E15" s="30" t="n">
        <f aca="false">E14*前提!$B$11</f>
        <v>0</v>
      </c>
      <c r="F15" s="30" t="n">
        <f aca="false">F14*前提!$B$11</f>
        <v>0</v>
      </c>
      <c r="G15" s="30" t="n">
        <f aca="false">G14*前提!$B$11</f>
        <v>0</v>
      </c>
      <c r="H15" s="30" t="n">
        <f aca="false">H14*前提!$B$11</f>
        <v>0</v>
      </c>
      <c r="I15" s="30" t="n">
        <f aca="false">I14*前提!$B$11</f>
        <v>0</v>
      </c>
      <c r="J15" s="30" t="n">
        <f aca="false">J14*前提!$B$11</f>
        <v>0</v>
      </c>
      <c r="K15" s="30" t="n">
        <f aca="false">K14*前提!$B$11</f>
        <v>0</v>
      </c>
      <c r="L15" s="30" t="n">
        <f aca="false">L14*前提!$B$11</f>
        <v>0</v>
      </c>
      <c r="M15" s="30" t="n">
        <f aca="false">M14*前提!$B$11</f>
        <v>0</v>
      </c>
      <c r="N15" s="30" t="n">
        <f aca="false">N14*前提!$B$11</f>
        <v>0</v>
      </c>
    </row>
    <row r="16" customFormat="false" ht="15" hidden="false" customHeight="true" outlineLevel="0" collapsed="false">
      <c r="A16" s="12" t="s">
        <v>117</v>
      </c>
      <c r="B16" s="3" t="s">
        <v>109</v>
      </c>
      <c r="C16" s="31" t="n">
        <f aca="false">C13+C15</f>
        <v>4.536</v>
      </c>
      <c r="D16" s="31" t="n">
        <f aca="false">D13+D15</f>
        <v>10.584</v>
      </c>
      <c r="E16" s="31" t="n">
        <f aca="false">E13+E15</f>
        <v>13.608</v>
      </c>
      <c r="F16" s="31" t="n">
        <f aca="false">F13+F15</f>
        <v>15.12</v>
      </c>
      <c r="G16" s="31" t="n">
        <f aca="false">G13+G15</f>
        <v>15.12</v>
      </c>
      <c r="H16" s="31" t="n">
        <f aca="false">H13+H15</f>
        <v>15.12</v>
      </c>
      <c r="I16" s="31" t="n">
        <f aca="false">I13+I15</f>
        <v>15.12</v>
      </c>
      <c r="J16" s="31" t="n">
        <f aca="false">J13+J15</f>
        <v>15.12</v>
      </c>
      <c r="K16" s="31" t="n">
        <f aca="false">K13+K15</f>
        <v>15.12</v>
      </c>
      <c r="L16" s="31" t="n">
        <f aca="false">L13+L15</f>
        <v>15.12</v>
      </c>
      <c r="M16" s="31" t="n">
        <f aca="false">M13+M15</f>
        <v>15.12</v>
      </c>
      <c r="N16" s="31" t="n">
        <f aca="false">N13+N15</f>
        <v>15.12</v>
      </c>
    </row>
    <row r="17" customFormat="false" ht="15" hidden="false" customHeight="true" outlineLevel="0" collapsed="false">
      <c r="A17" s="3" t="s">
        <v>118</v>
      </c>
      <c r="B17" s="3" t="s">
        <v>119</v>
      </c>
      <c r="C17" s="20" t="n">
        <f aca="false">(C9+C10+C12)*前提!$B$10+前提!$B$33*前提!$B$34*C7*前提!$B$35+C15*前提!$B$10*前提!$B$12</f>
        <v>37987.2</v>
      </c>
      <c r="D17" s="20" t="n">
        <f aca="false">(D9+D10+D12)*前提!$B$10+前提!$B$33*前提!$B$34*D7*前提!$B$35+D15*前提!$B$10*前提!$B$12</f>
        <v>88636.8</v>
      </c>
      <c r="E17" s="20" t="n">
        <f aca="false">(E9+E10+E12)*前提!$B$10+前提!$B$33*前提!$B$34*E7*前提!$B$35+E15*前提!$B$10*前提!$B$12</f>
        <v>113961.6</v>
      </c>
      <c r="F17" s="20" t="n">
        <f aca="false">(F9+F10+F12)*前提!$B$10+前提!$B$33*前提!$B$34*F7*前提!$B$35+F15*前提!$B$10*前提!$B$12</f>
        <v>126624</v>
      </c>
      <c r="G17" s="20" t="n">
        <f aca="false">(G9+G10+G12)*前提!$B$10+前提!$B$33*前提!$B$34*G7*前提!$B$35+G15*前提!$B$10*前提!$B$12</f>
        <v>126624</v>
      </c>
      <c r="H17" s="20" t="n">
        <f aca="false">(H9+H10+H12)*前提!$B$10+前提!$B$33*前提!$B$34*H7*前提!$B$35+H15*前提!$B$10*前提!$B$12</f>
        <v>126624</v>
      </c>
      <c r="I17" s="20" t="n">
        <f aca="false">(I9+I10+I12)*前提!$B$10+前提!$B$33*前提!$B$34*I7*前提!$B$35+I15*前提!$B$10*前提!$B$12</f>
        <v>126624</v>
      </c>
      <c r="J17" s="20" t="n">
        <f aca="false">(J9+J10+J12)*前提!$B$10+前提!$B$33*前提!$B$34*J7*前提!$B$35+J15*前提!$B$10*前提!$B$12</f>
        <v>126624</v>
      </c>
      <c r="K17" s="20" t="n">
        <f aca="false">(K9+K10+K12)*前提!$B$10+前提!$B$33*前提!$B$34*K7*前提!$B$35+K15*前提!$B$10*前提!$B$12</f>
        <v>126624</v>
      </c>
      <c r="L17" s="20" t="n">
        <f aca="false">(L9+L10+L12)*前提!$B$10+前提!$B$33*前提!$B$34*L7*前提!$B$35+L15*前提!$B$10*前提!$B$12</f>
        <v>126624</v>
      </c>
      <c r="M17" s="20" t="n">
        <f aca="false">(M9+M10+M12)*前提!$B$10+前提!$B$33*前提!$B$34*M7*前提!$B$35+M15*前提!$B$10*前提!$B$12</f>
        <v>126624</v>
      </c>
      <c r="N17" s="20" t="n">
        <f aca="false">(N9+N10+N12)*前提!$B$10+前提!$B$33*前提!$B$34*N7*前提!$B$35+N15*前提!$B$10*前提!$B$12</f>
        <v>126624</v>
      </c>
    </row>
    <row r="18" customFormat="false" ht="15" hidden="false" customHeight="true" outlineLevel="0" collapsed="false">
      <c r="A18" s="3" t="s">
        <v>120</v>
      </c>
      <c r="B18" s="3" t="s">
        <v>119</v>
      </c>
      <c r="C18" s="20" t="n">
        <f aca="false">C14*前提!$B$13*前提!$B$14</f>
        <v>0</v>
      </c>
      <c r="D18" s="20" t="n">
        <f aca="false">D14*前提!$B$13*前提!$B$14</f>
        <v>0</v>
      </c>
      <c r="E18" s="20" t="n">
        <f aca="false">E14*前提!$B$13*前提!$B$14</f>
        <v>0</v>
      </c>
      <c r="F18" s="20" t="n">
        <f aca="false">F14*前提!$B$13*前提!$B$14</f>
        <v>0</v>
      </c>
      <c r="G18" s="20" t="n">
        <f aca="false">G14*前提!$B$13*前提!$B$14</f>
        <v>0</v>
      </c>
      <c r="H18" s="20" t="n">
        <f aca="false">H14*前提!$B$13*前提!$B$14</f>
        <v>0</v>
      </c>
      <c r="I18" s="20" t="n">
        <f aca="false">I14*前提!$B$13*前提!$B$14</f>
        <v>0</v>
      </c>
      <c r="J18" s="20" t="n">
        <f aca="false">J14*前提!$B$13*前提!$B$14</f>
        <v>0</v>
      </c>
      <c r="K18" s="20" t="n">
        <f aca="false">K14*前提!$B$13*前提!$B$14</f>
        <v>0</v>
      </c>
      <c r="L18" s="20" t="n">
        <f aca="false">L14*前提!$B$13*前提!$B$14</f>
        <v>0</v>
      </c>
      <c r="M18" s="20" t="n">
        <f aca="false">M14*前提!$B$13*前提!$B$14</f>
        <v>0</v>
      </c>
      <c r="N18" s="20" t="n">
        <f aca="false">N14*前提!$B$13*前提!$B$14</f>
        <v>0</v>
      </c>
    </row>
    <row r="19" customFormat="false" ht="15" hidden="false" customHeight="true" outlineLevel="0" collapsed="false">
      <c r="A19" s="3" t="s">
        <v>121</v>
      </c>
      <c r="B19" s="3" t="s">
        <v>119</v>
      </c>
      <c r="C19" s="20" t="n">
        <f aca="false">C11*前提!$B$16</f>
        <v>600</v>
      </c>
      <c r="D19" s="20" t="n">
        <f aca="false">D11*前提!$B$16</f>
        <v>1400</v>
      </c>
      <c r="E19" s="20" t="n">
        <f aca="false">E11*前提!$B$16</f>
        <v>1800</v>
      </c>
      <c r="F19" s="20" t="n">
        <f aca="false">F11*前提!$B$16</f>
        <v>2000</v>
      </c>
      <c r="G19" s="20" t="n">
        <f aca="false">G11*前提!$B$16</f>
        <v>2000</v>
      </c>
      <c r="H19" s="20" t="n">
        <f aca="false">H11*前提!$B$16</f>
        <v>2000</v>
      </c>
      <c r="I19" s="20" t="n">
        <f aca="false">I11*前提!$B$16</f>
        <v>2000</v>
      </c>
      <c r="J19" s="20" t="n">
        <f aca="false">J11*前提!$B$16</f>
        <v>2000</v>
      </c>
      <c r="K19" s="20" t="n">
        <f aca="false">K11*前提!$B$16</f>
        <v>2000</v>
      </c>
      <c r="L19" s="20" t="n">
        <f aca="false">L11*前提!$B$16</f>
        <v>2000</v>
      </c>
      <c r="M19" s="20" t="n">
        <f aca="false">M11*前提!$B$16</f>
        <v>2000</v>
      </c>
      <c r="N19" s="20" t="n">
        <f aca="false">N11*前提!$B$16</f>
        <v>2000</v>
      </c>
    </row>
    <row r="20" customFormat="false" ht="15" hidden="false" customHeight="true" outlineLevel="0" collapsed="false">
      <c r="A20" s="3" t="s">
        <v>122</v>
      </c>
      <c r="B20" s="3" t="s">
        <v>119</v>
      </c>
      <c r="C20" s="20" t="n">
        <f aca="false">前提!$B$19*前提!$B$20*C7</f>
        <v>2250</v>
      </c>
      <c r="D20" s="20" t="n">
        <f aca="false">前提!$B$19*前提!$B$20*D7</f>
        <v>5250</v>
      </c>
      <c r="E20" s="20" t="n">
        <f aca="false">前提!$B$19*前提!$B$20*E7</f>
        <v>6750</v>
      </c>
      <c r="F20" s="20" t="n">
        <f aca="false">前提!$B$19*前提!$B$20*F7</f>
        <v>7500</v>
      </c>
      <c r="G20" s="20" t="n">
        <f aca="false">前提!$B$19*前提!$B$20*G7</f>
        <v>7500</v>
      </c>
      <c r="H20" s="20" t="n">
        <f aca="false">前提!$B$19*前提!$B$20*H7</f>
        <v>7500</v>
      </c>
      <c r="I20" s="20" t="n">
        <f aca="false">前提!$B$19*前提!$B$20*I7</f>
        <v>7500</v>
      </c>
      <c r="J20" s="20" t="n">
        <f aca="false">前提!$B$19*前提!$B$20*J7</f>
        <v>7500</v>
      </c>
      <c r="K20" s="20" t="n">
        <f aca="false">前提!$B$19*前提!$B$20*K7</f>
        <v>7500</v>
      </c>
      <c r="L20" s="20" t="n">
        <f aca="false">前提!$B$19*前提!$B$20*L7</f>
        <v>7500</v>
      </c>
      <c r="M20" s="20" t="n">
        <f aca="false">前提!$B$19*前提!$B$20*M7</f>
        <v>7500</v>
      </c>
      <c r="N20" s="20" t="n">
        <f aca="false">前提!$B$19*前提!$B$20*N7</f>
        <v>7500</v>
      </c>
    </row>
    <row r="21" customFormat="false" ht="15" hidden="false" customHeight="true" outlineLevel="0" collapsed="false">
      <c r="A21" s="12" t="s">
        <v>123</v>
      </c>
      <c r="B21" s="3" t="s">
        <v>119</v>
      </c>
      <c r="C21" s="32" t="n">
        <f aca="false">C17+C18+C19+C20</f>
        <v>40837.2</v>
      </c>
      <c r="D21" s="32" t="n">
        <f aca="false">D17+D18+D19+D20</f>
        <v>95286.8</v>
      </c>
      <c r="E21" s="32" t="n">
        <f aca="false">E17+E18+E19+E20</f>
        <v>122511.6</v>
      </c>
      <c r="F21" s="32" t="n">
        <f aca="false">F17+F18+F19+F20</f>
        <v>136124</v>
      </c>
      <c r="G21" s="32" t="n">
        <f aca="false">G17+G18+G19+G20</f>
        <v>136124</v>
      </c>
      <c r="H21" s="32" t="n">
        <f aca="false">H17+H18+H19+H20</f>
        <v>136124</v>
      </c>
      <c r="I21" s="32" t="n">
        <f aca="false">I17+I18+I19+I20</f>
        <v>136124</v>
      </c>
      <c r="J21" s="32" t="n">
        <f aca="false">J17+J18+J19+J20</f>
        <v>136124</v>
      </c>
      <c r="K21" s="32" t="n">
        <f aca="false">K17+K18+K19+K20</f>
        <v>136124</v>
      </c>
      <c r="L21" s="32" t="n">
        <f aca="false">L17+L18+L19+L20</f>
        <v>136124</v>
      </c>
      <c r="M21" s="32" t="n">
        <f aca="false">M17+M18+M19+M20</f>
        <v>136124</v>
      </c>
      <c r="N21" s="32" t="n">
        <f aca="false">N17+N18+N19+N20</f>
        <v>136124</v>
      </c>
    </row>
    <row r="22" customFormat="false" ht="15" hidden="false" customHeight="true" outlineLevel="0" collapsed="false">
      <c r="A22" s="3" t="s">
        <v>124</v>
      </c>
      <c r="B22" s="3" t="s">
        <v>119</v>
      </c>
      <c r="C22" s="20" t="n">
        <f aca="false">C19*(1-前提!$B$17)</f>
        <v>360</v>
      </c>
      <c r="D22" s="20" t="n">
        <f aca="false">D19*(1-前提!$B$17)</f>
        <v>840</v>
      </c>
      <c r="E22" s="20" t="n">
        <f aca="false">E19*(1-前提!$B$17)</f>
        <v>1080</v>
      </c>
      <c r="F22" s="20" t="n">
        <f aca="false">F19*(1-前提!$B$17)</f>
        <v>1200</v>
      </c>
      <c r="G22" s="20" t="n">
        <f aca="false">G19*(1-前提!$B$17)</f>
        <v>1200</v>
      </c>
      <c r="H22" s="20" t="n">
        <f aca="false">H19*(1-前提!$B$17)</f>
        <v>1200</v>
      </c>
      <c r="I22" s="20" t="n">
        <f aca="false">I19*(1-前提!$B$17)</f>
        <v>1200</v>
      </c>
      <c r="J22" s="20" t="n">
        <f aca="false">J19*(1-前提!$B$17)</f>
        <v>1200</v>
      </c>
      <c r="K22" s="20" t="n">
        <f aca="false">K19*(1-前提!$B$17)</f>
        <v>1200</v>
      </c>
      <c r="L22" s="20" t="n">
        <f aca="false">L19*(1-前提!$B$17)</f>
        <v>1200</v>
      </c>
      <c r="M22" s="20" t="n">
        <f aca="false">M19*(1-前提!$B$17)</f>
        <v>1200</v>
      </c>
      <c r="N22" s="20" t="n">
        <f aca="false">N19*(1-前提!$B$17)</f>
        <v>1200</v>
      </c>
    </row>
    <row r="23" customFormat="false" ht="15" hidden="false" customHeight="true" outlineLevel="0" collapsed="false">
      <c r="A23" s="3" t="s">
        <v>125</v>
      </c>
      <c r="B23" s="3" t="s">
        <v>119</v>
      </c>
      <c r="C23" s="20" t="n">
        <f aca="false">前提!$B$21+前提!$B$22</f>
        <v>150000</v>
      </c>
      <c r="D23" s="20" t="n">
        <f aca="false">前提!$B$21+前提!$B$22</f>
        <v>150000</v>
      </c>
      <c r="E23" s="20" t="n">
        <f aca="false">前提!$B$21+前提!$B$22</f>
        <v>150000</v>
      </c>
      <c r="F23" s="20" t="n">
        <f aca="false">前提!$B$21+前提!$B$22</f>
        <v>150000</v>
      </c>
      <c r="G23" s="20" t="n">
        <f aca="false">前提!$B$21+前提!$B$22</f>
        <v>150000</v>
      </c>
      <c r="H23" s="20" t="n">
        <f aca="false">前提!$B$21+前提!$B$22</f>
        <v>150000</v>
      </c>
      <c r="I23" s="20" t="n">
        <f aca="false">前提!$B$21+前提!$B$22</f>
        <v>150000</v>
      </c>
      <c r="J23" s="20" t="n">
        <f aca="false">前提!$B$21+前提!$B$22</f>
        <v>150000</v>
      </c>
      <c r="K23" s="20" t="n">
        <f aca="false">前提!$B$21+前提!$B$22</f>
        <v>150000</v>
      </c>
      <c r="L23" s="20" t="n">
        <f aca="false">前提!$B$21+前提!$B$22</f>
        <v>150000</v>
      </c>
      <c r="M23" s="20" t="n">
        <f aca="false">前提!$B$21+前提!$B$22</f>
        <v>150000</v>
      </c>
      <c r="N23" s="20" t="n">
        <f aca="false">前提!$B$21+前提!$B$22</f>
        <v>150000</v>
      </c>
    </row>
    <row r="24" customFormat="false" ht="15" hidden="false" customHeight="true" outlineLevel="0" collapsed="false">
      <c r="A24" s="3" t="s">
        <v>126</v>
      </c>
      <c r="B24" s="3" t="s">
        <v>119</v>
      </c>
      <c r="C24" s="20" t="n">
        <f aca="false">前提!$B$23/12</f>
        <v>12500</v>
      </c>
      <c r="D24" s="20" t="n">
        <f aca="false">前提!$B$23/12</f>
        <v>12500</v>
      </c>
      <c r="E24" s="20" t="n">
        <f aca="false">前提!$B$23/12</f>
        <v>12500</v>
      </c>
      <c r="F24" s="20" t="n">
        <f aca="false">前提!$B$23/12</f>
        <v>12500</v>
      </c>
      <c r="G24" s="20" t="n">
        <f aca="false">前提!$B$23/12</f>
        <v>12500</v>
      </c>
      <c r="H24" s="20" t="n">
        <f aca="false">前提!$B$23/12</f>
        <v>12500</v>
      </c>
      <c r="I24" s="20" t="n">
        <f aca="false">前提!$B$23/12</f>
        <v>12500</v>
      </c>
      <c r="J24" s="20" t="n">
        <f aca="false">前提!$B$23/12</f>
        <v>12500</v>
      </c>
      <c r="K24" s="20" t="n">
        <f aca="false">前提!$B$23/12</f>
        <v>12500</v>
      </c>
      <c r="L24" s="20" t="n">
        <f aca="false">前提!$B$23/12</f>
        <v>12500</v>
      </c>
      <c r="M24" s="20" t="n">
        <f aca="false">前提!$B$23/12</f>
        <v>12500</v>
      </c>
      <c r="N24" s="20" t="n">
        <f aca="false">前提!$B$23/12</f>
        <v>12500</v>
      </c>
    </row>
    <row r="25" customFormat="false" ht="15" hidden="false" customHeight="true" outlineLevel="0" collapsed="false">
      <c r="A25" s="12" t="s">
        <v>127</v>
      </c>
      <c r="B25" s="3" t="s">
        <v>119</v>
      </c>
      <c r="C25" s="32" t="n">
        <f aca="false">C21-C22-C23-C24</f>
        <v>-122022.8</v>
      </c>
      <c r="D25" s="32" t="n">
        <f aca="false">D21-D22-D23-D24</f>
        <v>-68053.2</v>
      </c>
      <c r="E25" s="32" t="n">
        <f aca="false">E21-E22-E23-E24</f>
        <v>-41068.4</v>
      </c>
      <c r="F25" s="32" t="n">
        <f aca="false">F21-F22-F23-F24</f>
        <v>-27576</v>
      </c>
      <c r="G25" s="32" t="n">
        <f aca="false">G21-G22-G23-G24</f>
        <v>-27576</v>
      </c>
      <c r="H25" s="32" t="n">
        <f aca="false">H21-H22-H23-H24</f>
        <v>-27576</v>
      </c>
      <c r="I25" s="32" t="n">
        <f aca="false">I21-I22-I23-I24</f>
        <v>-27576</v>
      </c>
      <c r="J25" s="32" t="n">
        <f aca="false">J21-J22-J23-J24</f>
        <v>-27576</v>
      </c>
      <c r="K25" s="32" t="n">
        <f aca="false">K21-K22-K23-K24</f>
        <v>-27576</v>
      </c>
      <c r="L25" s="32" t="n">
        <f aca="false">L21-L22-L23-L24</f>
        <v>-27576</v>
      </c>
      <c r="M25" s="32" t="n">
        <f aca="false">M21-M22-M23-M24</f>
        <v>-27576</v>
      </c>
      <c r="N25" s="32" t="n">
        <f aca="false">N21-N22-N23-N24</f>
        <v>-27576</v>
      </c>
    </row>
    <row r="26" customFormat="false" ht="15" hidden="false" customHeight="true" outlineLevel="0" collapsed="false">
      <c r="A26" s="3" t="s">
        <v>128</v>
      </c>
      <c r="B26" s="3" t="s">
        <v>119</v>
      </c>
      <c r="C26" s="8" t="n">
        <f aca="false">前提!$B$30</f>
        <v>53242.0848164408</v>
      </c>
      <c r="D26" s="8" t="n">
        <f aca="false">前提!$B$30</f>
        <v>53242.0848164408</v>
      </c>
      <c r="E26" s="8" t="n">
        <f aca="false">前提!$B$30</f>
        <v>53242.0848164408</v>
      </c>
      <c r="F26" s="8" t="n">
        <f aca="false">前提!$B$30</f>
        <v>53242.0848164408</v>
      </c>
      <c r="G26" s="8" t="n">
        <f aca="false">前提!$B$30</f>
        <v>53242.0848164408</v>
      </c>
      <c r="H26" s="8" t="n">
        <f aca="false">前提!$B$30</f>
        <v>53242.0848164408</v>
      </c>
      <c r="I26" s="8" t="n">
        <f aca="false">前提!$B$30</f>
        <v>53242.0848164408</v>
      </c>
      <c r="J26" s="8" t="n">
        <f aca="false">前提!$B$30</f>
        <v>53242.0848164408</v>
      </c>
      <c r="K26" s="8" t="n">
        <f aca="false">前提!$B$30</f>
        <v>53242.0848164408</v>
      </c>
      <c r="L26" s="8" t="n">
        <f aca="false">前提!$B$30</f>
        <v>53242.0848164408</v>
      </c>
      <c r="M26" s="8" t="n">
        <f aca="false">前提!$B$30</f>
        <v>53242.0848164408</v>
      </c>
      <c r="N26" s="8" t="n">
        <f aca="false">前提!$B$30</f>
        <v>53242.0848164408</v>
      </c>
    </row>
    <row r="27" customFormat="false" ht="15" hidden="false" customHeight="true" outlineLevel="0" collapsed="false">
      <c r="A27" s="3" t="s">
        <v>129</v>
      </c>
      <c r="B27" s="3" t="s">
        <v>119</v>
      </c>
      <c r="C27" s="20" t="n">
        <f aca="false">C25-C26</f>
        <v>-175264.884816441</v>
      </c>
      <c r="D27" s="20" t="n">
        <f aca="false">D25-D26</f>
        <v>-121295.284816441</v>
      </c>
      <c r="E27" s="20" t="n">
        <f aca="false">E25-E26</f>
        <v>-94310.4848164409</v>
      </c>
      <c r="F27" s="20" t="n">
        <f aca="false">F25-F26</f>
        <v>-80818.0848164409</v>
      </c>
      <c r="G27" s="20" t="n">
        <f aca="false">G25-G26</f>
        <v>-80818.0848164409</v>
      </c>
      <c r="H27" s="20" t="n">
        <f aca="false">H25-H26</f>
        <v>-80818.0848164409</v>
      </c>
      <c r="I27" s="20" t="n">
        <f aca="false">I25-I26</f>
        <v>-80818.0848164409</v>
      </c>
      <c r="J27" s="20" t="n">
        <f aca="false">J25-J26</f>
        <v>-80818.0848164409</v>
      </c>
      <c r="K27" s="20" t="n">
        <f aca="false">K25-K26</f>
        <v>-80818.0848164409</v>
      </c>
      <c r="L27" s="20" t="n">
        <f aca="false">L25-L26</f>
        <v>-80818.0848164409</v>
      </c>
      <c r="M27" s="20" t="n">
        <f aca="false">M25-M26</f>
        <v>-80818.0848164409</v>
      </c>
      <c r="N27" s="20" t="n">
        <f aca="false">N25-N26</f>
        <v>-80818.0848164409</v>
      </c>
    </row>
    <row r="28" customFormat="false" ht="15" hidden="false" customHeight="true" outlineLevel="0" collapsed="false">
      <c r="A28" s="12" t="s">
        <v>130</v>
      </c>
      <c r="B28" s="3" t="s">
        <v>119</v>
      </c>
      <c r="C28" s="33" t="n">
        <f aca="false">前提!$B$31+C27</f>
        <v>2324735.11518356</v>
      </c>
      <c r="D28" s="32" t="n">
        <f aca="false">C28+D27</f>
        <v>2203439.83036712</v>
      </c>
      <c r="E28" s="32" t="n">
        <f aca="false">D28+E27</f>
        <v>2109129.34555068</v>
      </c>
      <c r="F28" s="32" t="n">
        <f aca="false">E28+F27</f>
        <v>2028311.26073424</v>
      </c>
      <c r="G28" s="32" t="n">
        <f aca="false">F28+G27</f>
        <v>1947493.1759178</v>
      </c>
      <c r="H28" s="32" t="n">
        <f aca="false">G28+H27</f>
        <v>1866675.09110136</v>
      </c>
      <c r="I28" s="32" t="n">
        <f aca="false">H28+I27</f>
        <v>1785857.00628491</v>
      </c>
      <c r="J28" s="32" t="n">
        <f aca="false">I28+J27</f>
        <v>1705038.92146847</v>
      </c>
      <c r="K28" s="32" t="n">
        <f aca="false">J28+K27</f>
        <v>1624220.83665203</v>
      </c>
      <c r="L28" s="32" t="n">
        <f aca="false">K28+L27</f>
        <v>1543402.75183559</v>
      </c>
      <c r="M28" s="32" t="n">
        <f aca="false">L28+M27</f>
        <v>1462584.66701915</v>
      </c>
      <c r="N28" s="32" t="n">
        <f aca="false">M28+N27</f>
        <v>1381766.58220271</v>
      </c>
    </row>
    <row r="31" customFormat="false" ht="15" hidden="false" customHeight="true" outlineLevel="0" collapsed="false">
      <c r="A31" s="27" t="s">
        <v>131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customFormat="false" ht="15" hidden="false" customHeight="true" outlineLevel="0" collapsed="false">
      <c r="A32" s="3" t="s">
        <v>106</v>
      </c>
      <c r="B32" s="7" t="s">
        <v>107</v>
      </c>
      <c r="C32" s="29" t="n">
        <f aca="false">C$4</f>
        <v>0.3</v>
      </c>
      <c r="D32" s="29" t="n">
        <f aca="false">D$4</f>
        <v>0.7</v>
      </c>
      <c r="E32" s="29" t="n">
        <f aca="false">E$4</f>
        <v>0.9</v>
      </c>
      <c r="F32" s="29" t="n">
        <f aca="false">F$4</f>
        <v>1</v>
      </c>
      <c r="G32" s="29" t="n">
        <f aca="false">G$4</f>
        <v>1</v>
      </c>
      <c r="H32" s="29" t="n">
        <f aca="false">H$4</f>
        <v>1</v>
      </c>
      <c r="I32" s="29" t="n">
        <f aca="false">I$4</f>
        <v>1</v>
      </c>
      <c r="J32" s="29" t="n">
        <f aca="false">J$4</f>
        <v>1</v>
      </c>
      <c r="K32" s="29" t="n">
        <f aca="false">K$4</f>
        <v>1</v>
      </c>
      <c r="L32" s="29" t="n">
        <f aca="false">L$4</f>
        <v>1</v>
      </c>
      <c r="M32" s="29" t="n">
        <f aca="false">M$4</f>
        <v>1</v>
      </c>
      <c r="N32" s="29" t="n">
        <f aca="false">N$4</f>
        <v>1</v>
      </c>
    </row>
    <row r="33" customFormat="false" ht="15" hidden="false" customHeight="true" outlineLevel="0" collapsed="false">
      <c r="A33" s="3" t="s">
        <v>108</v>
      </c>
      <c r="B33" s="3" t="s">
        <v>109</v>
      </c>
      <c r="C33" s="30" t="n">
        <f aca="false">前提!$C$5*前提!$C$6*前提!$C$7</f>
        <v>106.25</v>
      </c>
      <c r="D33" s="30" t="n">
        <f aca="false">前提!$C$5*前提!$C$6*前提!$C$7</f>
        <v>106.25</v>
      </c>
      <c r="E33" s="30" t="n">
        <f aca="false">前提!$C$5*前提!$C$6*前提!$C$7</f>
        <v>106.25</v>
      </c>
      <c r="F33" s="30" t="n">
        <f aca="false">前提!$C$5*前提!$C$6*前提!$C$7</f>
        <v>106.25</v>
      </c>
      <c r="G33" s="30" t="n">
        <f aca="false">前提!$C$5*前提!$C$6*前提!$C$7</f>
        <v>106.25</v>
      </c>
      <c r="H33" s="30" t="n">
        <f aca="false">前提!$C$5*前提!$C$6*前提!$C$7</f>
        <v>106.25</v>
      </c>
      <c r="I33" s="30" t="n">
        <f aca="false">前提!$C$5*前提!$C$6*前提!$C$7</f>
        <v>106.25</v>
      </c>
      <c r="J33" s="30" t="n">
        <f aca="false">前提!$C$5*前提!$C$6*前提!$C$7</f>
        <v>106.25</v>
      </c>
      <c r="K33" s="30" t="n">
        <f aca="false">前提!$C$5*前提!$C$6*前提!$C$7</f>
        <v>106.25</v>
      </c>
      <c r="L33" s="30" t="n">
        <f aca="false">前提!$C$5*前提!$C$6*前提!$C$7</f>
        <v>106.25</v>
      </c>
      <c r="M33" s="30" t="n">
        <f aca="false">前提!$C$5*前提!$C$6*前提!$C$7</f>
        <v>106.25</v>
      </c>
      <c r="N33" s="30" t="n">
        <f aca="false">前提!$C$5*前提!$C$6*前提!$C$7</f>
        <v>106.25</v>
      </c>
    </row>
    <row r="34" customFormat="false" ht="15" hidden="false" customHeight="true" outlineLevel="0" collapsed="false">
      <c r="A34" s="3" t="s">
        <v>110</v>
      </c>
      <c r="B34" s="3" t="s">
        <v>109</v>
      </c>
      <c r="C34" s="30" t="n">
        <f aca="false">C33*前提!$C$8*C32</f>
        <v>3.825</v>
      </c>
      <c r="D34" s="30" t="n">
        <f aca="false">D33*前提!$C$8*D32</f>
        <v>8.925</v>
      </c>
      <c r="E34" s="30" t="n">
        <f aca="false">E33*前提!$C$8*E32</f>
        <v>11.475</v>
      </c>
      <c r="F34" s="30" t="n">
        <f aca="false">F33*前提!$C$8*F32</f>
        <v>12.75</v>
      </c>
      <c r="G34" s="30" t="n">
        <f aca="false">G33*前提!$C$8*G32</f>
        <v>12.75</v>
      </c>
      <c r="H34" s="30" t="n">
        <f aca="false">H33*前提!$C$8*H32</f>
        <v>12.75</v>
      </c>
      <c r="I34" s="30" t="n">
        <f aca="false">I33*前提!$C$8*I32</f>
        <v>12.75</v>
      </c>
      <c r="J34" s="30" t="n">
        <f aca="false">J33*前提!$C$8*J32</f>
        <v>12.75</v>
      </c>
      <c r="K34" s="30" t="n">
        <f aca="false">K33*前提!$C$8*K32</f>
        <v>12.75</v>
      </c>
      <c r="L34" s="30" t="n">
        <f aca="false">L33*前提!$C$8*L32</f>
        <v>12.75</v>
      </c>
      <c r="M34" s="30" t="n">
        <f aca="false">M33*前提!$C$8*M32</f>
        <v>12.75</v>
      </c>
      <c r="N34" s="30" t="n">
        <f aca="false">N33*前提!$C$8*N32</f>
        <v>12.75</v>
      </c>
    </row>
    <row r="35" customFormat="false" ht="15" hidden="false" customHeight="true" outlineLevel="0" collapsed="false">
      <c r="A35" s="3" t="s">
        <v>111</v>
      </c>
      <c r="B35" s="3" t="s">
        <v>109</v>
      </c>
      <c r="C35" s="30" t="n">
        <f aca="false">前提!$C$9*C32</f>
        <v>0.6</v>
      </c>
      <c r="D35" s="30" t="n">
        <f aca="false">前提!$C$9*D32</f>
        <v>1.4</v>
      </c>
      <c r="E35" s="30" t="n">
        <f aca="false">前提!$C$9*E32</f>
        <v>1.8</v>
      </c>
      <c r="F35" s="30" t="n">
        <f aca="false">前提!$C$9*F32</f>
        <v>2</v>
      </c>
      <c r="G35" s="30" t="n">
        <f aca="false">前提!$C$9*G32</f>
        <v>2</v>
      </c>
      <c r="H35" s="30" t="n">
        <f aca="false">前提!$C$9*H32</f>
        <v>2</v>
      </c>
      <c r="I35" s="30" t="n">
        <f aca="false">前提!$C$9*I32</f>
        <v>2</v>
      </c>
      <c r="J35" s="30" t="n">
        <f aca="false">前提!$C$9*J32</f>
        <v>2</v>
      </c>
      <c r="K35" s="30" t="n">
        <f aca="false">前提!$C$9*K32</f>
        <v>2</v>
      </c>
      <c r="L35" s="30" t="n">
        <f aca="false">前提!$C$9*L32</f>
        <v>2</v>
      </c>
      <c r="M35" s="30" t="n">
        <f aca="false">前提!$C$9*M32</f>
        <v>2</v>
      </c>
      <c r="N35" s="30" t="n">
        <f aca="false">前提!$C$9*N32</f>
        <v>2</v>
      </c>
    </row>
    <row r="36" customFormat="false" ht="15" hidden="false" customHeight="true" outlineLevel="0" collapsed="false">
      <c r="A36" s="3" t="s">
        <v>112</v>
      </c>
      <c r="B36" s="3" t="s">
        <v>109</v>
      </c>
      <c r="C36" s="30" t="n">
        <f aca="false">前提!$C$15*C32</f>
        <v>0.9</v>
      </c>
      <c r="D36" s="30" t="n">
        <f aca="false">前提!$C$15*D32</f>
        <v>2.1</v>
      </c>
      <c r="E36" s="30" t="n">
        <f aca="false">前提!$C$15*E32</f>
        <v>2.7</v>
      </c>
      <c r="F36" s="30" t="n">
        <f aca="false">前提!$C$15*F32</f>
        <v>3</v>
      </c>
      <c r="G36" s="30" t="n">
        <f aca="false">前提!$C$15*G32</f>
        <v>3</v>
      </c>
      <c r="H36" s="30" t="n">
        <f aca="false">前提!$C$15*H32</f>
        <v>3</v>
      </c>
      <c r="I36" s="30" t="n">
        <f aca="false">前提!$C$15*I32</f>
        <v>3</v>
      </c>
      <c r="J36" s="30" t="n">
        <f aca="false">前提!$C$15*J32</f>
        <v>3</v>
      </c>
      <c r="K36" s="30" t="n">
        <f aca="false">前提!$C$15*K32</f>
        <v>3</v>
      </c>
      <c r="L36" s="30" t="n">
        <f aca="false">前提!$C$15*L32</f>
        <v>3</v>
      </c>
      <c r="M36" s="30" t="n">
        <f aca="false">前提!$C$15*M32</f>
        <v>3</v>
      </c>
      <c r="N36" s="30" t="n">
        <f aca="false">前提!$C$15*N32</f>
        <v>3</v>
      </c>
    </row>
    <row r="37" customFormat="false" ht="15" hidden="false" customHeight="true" outlineLevel="0" collapsed="false">
      <c r="A37" s="3" t="s">
        <v>113</v>
      </c>
      <c r="B37" s="3" t="s">
        <v>109</v>
      </c>
      <c r="C37" s="30" t="n">
        <f aca="false">C36*前提!$C$18</f>
        <v>0.09</v>
      </c>
      <c r="D37" s="30" t="n">
        <f aca="false">D36*前提!$C$18</f>
        <v>0.21</v>
      </c>
      <c r="E37" s="30" t="n">
        <f aca="false">E36*前提!$C$18</f>
        <v>0.27</v>
      </c>
      <c r="F37" s="30" t="n">
        <f aca="false">F36*前提!$C$18</f>
        <v>0.3</v>
      </c>
      <c r="G37" s="30" t="n">
        <f aca="false">G36*前提!$C$18</f>
        <v>0.3</v>
      </c>
      <c r="H37" s="30" t="n">
        <f aca="false">H36*前提!$C$18</f>
        <v>0.3</v>
      </c>
      <c r="I37" s="30" t="n">
        <f aca="false">I36*前提!$C$18</f>
        <v>0.3</v>
      </c>
      <c r="J37" s="30" t="n">
        <f aca="false">J36*前提!$C$18</f>
        <v>0.3</v>
      </c>
      <c r="K37" s="30" t="n">
        <f aca="false">K36*前提!$C$18</f>
        <v>0.3</v>
      </c>
      <c r="L37" s="30" t="n">
        <f aca="false">L36*前提!$C$18</f>
        <v>0.3</v>
      </c>
      <c r="M37" s="30" t="n">
        <f aca="false">M36*前提!$C$18</f>
        <v>0.3</v>
      </c>
      <c r="N37" s="30" t="n">
        <f aca="false">N36*前提!$C$18</f>
        <v>0.3</v>
      </c>
    </row>
    <row r="38" customFormat="false" ht="15" hidden="false" customHeight="true" outlineLevel="0" collapsed="false">
      <c r="A38" s="3" t="s">
        <v>114</v>
      </c>
      <c r="B38" s="3" t="s">
        <v>109</v>
      </c>
      <c r="C38" s="30" t="n">
        <f aca="false">C9+C10+C12+前提!$C$33*前提!$C$34*C7</f>
        <v>5.436</v>
      </c>
      <c r="D38" s="30" t="n">
        <f aca="false">D9+D10+D12+前提!$C$33*前提!$C$34*D7</f>
        <v>12.684</v>
      </c>
      <c r="E38" s="30" t="n">
        <f aca="false">E9+E10+E12+前提!$C$33*前提!$C$34*E7</f>
        <v>16.308</v>
      </c>
      <c r="F38" s="30" t="n">
        <f aca="false">F9+F10+F12+前提!$C$33*前提!$C$34*F7</f>
        <v>18.12</v>
      </c>
      <c r="G38" s="30" t="n">
        <f aca="false">G9+G10+G12+前提!$C$33*前提!$C$34*G7</f>
        <v>18.12</v>
      </c>
      <c r="H38" s="30" t="n">
        <f aca="false">H9+H10+H12+前提!$C$33*前提!$C$34*H7</f>
        <v>18.12</v>
      </c>
      <c r="I38" s="30" t="n">
        <f aca="false">I9+I10+I12+前提!$C$33*前提!$C$34*I7</f>
        <v>18.12</v>
      </c>
      <c r="J38" s="30" t="n">
        <f aca="false">J9+J10+J12+前提!$C$33*前提!$C$34*J7</f>
        <v>18.12</v>
      </c>
      <c r="K38" s="30" t="n">
        <f aca="false">K9+K10+K12+前提!$C$33*前提!$C$34*K7</f>
        <v>18.12</v>
      </c>
      <c r="L38" s="30" t="n">
        <f aca="false">L9+L10+L12+前提!$C$33*前提!$C$34*L7</f>
        <v>18.12</v>
      </c>
      <c r="M38" s="30" t="n">
        <f aca="false">M9+M10+M12+前提!$C$33*前提!$C$34*M7</f>
        <v>18.12</v>
      </c>
      <c r="N38" s="30" t="n">
        <f aca="false">N9+N10+N12+前提!$C$33*前提!$C$34*N7</f>
        <v>18.12</v>
      </c>
    </row>
    <row r="39" customFormat="false" ht="15" hidden="false" customHeight="true" outlineLevel="0" collapsed="false">
      <c r="A39" s="3" t="s">
        <v>115</v>
      </c>
      <c r="B39" s="3" t="s">
        <v>109</v>
      </c>
      <c r="C39" s="30" t="n">
        <f aca="false">0</f>
        <v>0</v>
      </c>
      <c r="D39" s="30" t="n">
        <f aca="false">C39+C38</f>
        <v>5.436</v>
      </c>
      <c r="E39" s="30" t="n">
        <f aca="false">D39+D38</f>
        <v>18.12</v>
      </c>
      <c r="F39" s="30" t="n">
        <f aca="false">E39+E38</f>
        <v>34.428</v>
      </c>
      <c r="G39" s="30" t="n">
        <f aca="false">F39+F38</f>
        <v>52.548</v>
      </c>
      <c r="H39" s="30" t="n">
        <f aca="false">G39+G38</f>
        <v>70.668</v>
      </c>
      <c r="I39" s="30" t="n">
        <f aca="false">H39+H38</f>
        <v>88.788</v>
      </c>
      <c r="J39" s="30" t="n">
        <f aca="false">I39+I38</f>
        <v>106.908</v>
      </c>
      <c r="K39" s="30" t="n">
        <f aca="false">J39+J38</f>
        <v>125.028</v>
      </c>
      <c r="L39" s="30" t="n">
        <f aca="false">K39+K38</f>
        <v>143.148</v>
      </c>
      <c r="M39" s="30" t="n">
        <f aca="false">L39+L38</f>
        <v>161.268</v>
      </c>
      <c r="N39" s="30" t="n">
        <f aca="false">M39+M38</f>
        <v>179.388</v>
      </c>
    </row>
    <row r="40" customFormat="false" ht="15" hidden="false" customHeight="true" outlineLevel="0" collapsed="false">
      <c r="A40" s="3" t="s">
        <v>116</v>
      </c>
      <c r="B40" s="3" t="s">
        <v>109</v>
      </c>
      <c r="C40" s="30" t="n">
        <f aca="false">C39*前提!$C$11</f>
        <v>0</v>
      </c>
      <c r="D40" s="30" t="n">
        <f aca="false">D39*前提!$C$11</f>
        <v>0.2718</v>
      </c>
      <c r="E40" s="30" t="n">
        <f aca="false">E39*前提!$C$11</f>
        <v>0.906</v>
      </c>
      <c r="F40" s="30" t="n">
        <f aca="false">F39*前提!$C$11</f>
        <v>1.7214</v>
      </c>
      <c r="G40" s="30" t="n">
        <f aca="false">G39*前提!$C$11</f>
        <v>2.6274</v>
      </c>
      <c r="H40" s="30" t="n">
        <f aca="false">H39*前提!$C$11</f>
        <v>3.5334</v>
      </c>
      <c r="I40" s="30" t="n">
        <f aca="false">I39*前提!$C$11</f>
        <v>4.4394</v>
      </c>
      <c r="J40" s="30" t="n">
        <f aca="false">J39*前提!$C$11</f>
        <v>5.3454</v>
      </c>
      <c r="K40" s="30" t="n">
        <f aca="false">K39*前提!$C$11</f>
        <v>6.2514</v>
      </c>
      <c r="L40" s="30" t="n">
        <f aca="false">L39*前提!$C$11</f>
        <v>7.1574</v>
      </c>
      <c r="M40" s="30" t="n">
        <f aca="false">M39*前提!$C$11</f>
        <v>8.0634</v>
      </c>
      <c r="N40" s="30" t="n">
        <f aca="false">N39*前提!$C$11</f>
        <v>8.9694</v>
      </c>
    </row>
    <row r="41" customFormat="false" ht="15" hidden="false" customHeight="true" outlineLevel="0" collapsed="false">
      <c r="A41" s="12" t="s">
        <v>117</v>
      </c>
      <c r="B41" s="3" t="s">
        <v>109</v>
      </c>
      <c r="C41" s="31" t="n">
        <f aca="false">C38+C40</f>
        <v>5.436</v>
      </c>
      <c r="D41" s="31" t="n">
        <f aca="false">D38+D40</f>
        <v>12.9558</v>
      </c>
      <c r="E41" s="31" t="n">
        <f aca="false">E38+E40</f>
        <v>17.214</v>
      </c>
      <c r="F41" s="31" t="n">
        <f aca="false">F38+F40</f>
        <v>19.8414</v>
      </c>
      <c r="G41" s="31" t="n">
        <f aca="false">G38+G40</f>
        <v>20.7474</v>
      </c>
      <c r="H41" s="31" t="n">
        <f aca="false">H38+H40</f>
        <v>21.6534</v>
      </c>
      <c r="I41" s="31" t="n">
        <f aca="false">I38+I40</f>
        <v>22.5594</v>
      </c>
      <c r="J41" s="31" t="n">
        <f aca="false">J38+J40</f>
        <v>23.4654</v>
      </c>
      <c r="K41" s="31" t="n">
        <f aca="false">K38+K40</f>
        <v>24.3714</v>
      </c>
      <c r="L41" s="31" t="n">
        <f aca="false">L38+L40</f>
        <v>25.2774</v>
      </c>
      <c r="M41" s="31" t="n">
        <f aca="false">M38+M40</f>
        <v>26.1834</v>
      </c>
      <c r="N41" s="31" t="n">
        <f aca="false">N38+N40</f>
        <v>27.0894</v>
      </c>
    </row>
    <row r="42" customFormat="false" ht="15" hidden="false" customHeight="true" outlineLevel="0" collapsed="false">
      <c r="A42" s="3" t="s">
        <v>118</v>
      </c>
      <c r="B42" s="3" t="s">
        <v>119</v>
      </c>
      <c r="C42" s="20" t="n">
        <f aca="false">(C9+C10+C12)*前提!$C$10+前提!$C$33*前提!$C$34*C7*前提!$C$35+C15*前提!$C$10*前提!$C$12</f>
        <v>47448</v>
      </c>
      <c r="D42" s="20" t="n">
        <f aca="false">(D9+D10+D12)*前提!$C$10+前提!$C$33*前提!$C$34*D7*前提!$C$35+D15*前提!$C$10*前提!$C$12</f>
        <v>110712</v>
      </c>
      <c r="E42" s="20" t="n">
        <f aca="false">(E9+E10+E12)*前提!$C$10+前提!$C$33*前提!$C$34*E7*前提!$C$35+E15*前提!$C$10*前提!$C$12</f>
        <v>142344</v>
      </c>
      <c r="F42" s="20" t="n">
        <f aca="false">(F9+F10+F12)*前提!$C$10+前提!$C$33*前提!$C$34*F7*前提!$C$35+F15*前提!$C$10*前提!$C$12</f>
        <v>158160</v>
      </c>
      <c r="G42" s="20" t="n">
        <f aca="false">(G9+G10+G12)*前提!$C$10+前提!$C$33*前提!$C$34*G7*前提!$C$35+G15*前提!$C$10*前提!$C$12</f>
        <v>158160</v>
      </c>
      <c r="H42" s="20" t="n">
        <f aca="false">(H9+H10+H12)*前提!$C$10+前提!$C$33*前提!$C$34*H7*前提!$C$35+H15*前提!$C$10*前提!$C$12</f>
        <v>158160</v>
      </c>
      <c r="I42" s="20" t="n">
        <f aca="false">(I9+I10+I12)*前提!$C$10+前提!$C$33*前提!$C$34*I7*前提!$C$35+I15*前提!$C$10*前提!$C$12</f>
        <v>158160</v>
      </c>
      <c r="J42" s="20" t="n">
        <f aca="false">(J9+J10+J12)*前提!$C$10+前提!$C$33*前提!$C$34*J7*前提!$C$35+J15*前提!$C$10*前提!$C$12</f>
        <v>158160</v>
      </c>
      <c r="K42" s="20" t="n">
        <f aca="false">(K9+K10+K12)*前提!$C$10+前提!$C$33*前提!$C$34*K7*前提!$C$35+K15*前提!$C$10*前提!$C$12</f>
        <v>158160</v>
      </c>
      <c r="L42" s="20" t="n">
        <f aca="false">(L9+L10+L12)*前提!$C$10+前提!$C$33*前提!$C$34*L7*前提!$C$35+L15*前提!$C$10*前提!$C$12</f>
        <v>158160</v>
      </c>
      <c r="M42" s="20" t="n">
        <f aca="false">(M9+M10+M12)*前提!$C$10+前提!$C$33*前提!$C$34*M7*前提!$C$35+M15*前提!$C$10*前提!$C$12</f>
        <v>158160</v>
      </c>
      <c r="N42" s="20" t="n">
        <f aca="false">(N9+N10+N12)*前提!$C$10+前提!$C$33*前提!$C$34*N7*前提!$C$35+N15*前提!$C$10*前提!$C$12</f>
        <v>158160</v>
      </c>
    </row>
    <row r="43" customFormat="false" ht="15" hidden="false" customHeight="true" outlineLevel="0" collapsed="false">
      <c r="A43" s="3" t="s">
        <v>120</v>
      </c>
      <c r="B43" s="3" t="s">
        <v>119</v>
      </c>
      <c r="C43" s="20" t="n">
        <f aca="false">C39*前提!$C$13*前提!$C$14</f>
        <v>0</v>
      </c>
      <c r="D43" s="20" t="n">
        <f aca="false">D39*前提!$C$13*前提!$C$14</f>
        <v>135.9</v>
      </c>
      <c r="E43" s="20" t="n">
        <f aca="false">E39*前提!$C$13*前提!$C$14</f>
        <v>453</v>
      </c>
      <c r="F43" s="20" t="n">
        <f aca="false">F39*前提!$C$13*前提!$C$14</f>
        <v>860.7</v>
      </c>
      <c r="G43" s="20" t="n">
        <f aca="false">G39*前提!$C$13*前提!$C$14</f>
        <v>1313.7</v>
      </c>
      <c r="H43" s="20" t="n">
        <f aca="false">H39*前提!$C$13*前提!$C$14</f>
        <v>1766.7</v>
      </c>
      <c r="I43" s="20" t="n">
        <f aca="false">I39*前提!$C$13*前提!$C$14</f>
        <v>2219.7</v>
      </c>
      <c r="J43" s="20" t="n">
        <f aca="false">J39*前提!$C$13*前提!$C$14</f>
        <v>2672.7</v>
      </c>
      <c r="K43" s="20" t="n">
        <f aca="false">K39*前提!$C$13*前提!$C$14</f>
        <v>3125.7</v>
      </c>
      <c r="L43" s="20" t="n">
        <f aca="false">L39*前提!$C$13*前提!$C$14</f>
        <v>3578.7</v>
      </c>
      <c r="M43" s="20" t="n">
        <f aca="false">M39*前提!$C$13*前提!$C$14</f>
        <v>4031.7</v>
      </c>
      <c r="N43" s="20" t="n">
        <f aca="false">N39*前提!$C$13*前提!$C$14</f>
        <v>4484.7</v>
      </c>
    </row>
    <row r="44" customFormat="false" ht="15" hidden="false" customHeight="true" outlineLevel="0" collapsed="false">
      <c r="A44" s="3" t="s">
        <v>121</v>
      </c>
      <c r="B44" s="3" t="s">
        <v>119</v>
      </c>
      <c r="C44" s="20" t="n">
        <f aca="false">C36*前提!$C$16</f>
        <v>2250</v>
      </c>
      <c r="D44" s="20" t="n">
        <f aca="false">D36*前提!$C$16</f>
        <v>5250</v>
      </c>
      <c r="E44" s="20" t="n">
        <f aca="false">E36*前提!$C$16</f>
        <v>6750</v>
      </c>
      <c r="F44" s="20" t="n">
        <f aca="false">F36*前提!$C$16</f>
        <v>7500</v>
      </c>
      <c r="G44" s="20" t="n">
        <f aca="false">G36*前提!$C$16</f>
        <v>7500</v>
      </c>
      <c r="H44" s="20" t="n">
        <f aca="false">H36*前提!$C$16</f>
        <v>7500</v>
      </c>
      <c r="I44" s="20" t="n">
        <f aca="false">I36*前提!$C$16</f>
        <v>7500</v>
      </c>
      <c r="J44" s="20" t="n">
        <f aca="false">J36*前提!$C$16</f>
        <v>7500</v>
      </c>
      <c r="K44" s="20" t="n">
        <f aca="false">K36*前提!$C$16</f>
        <v>7500</v>
      </c>
      <c r="L44" s="20" t="n">
        <f aca="false">L36*前提!$C$16</f>
        <v>7500</v>
      </c>
      <c r="M44" s="20" t="n">
        <f aca="false">M36*前提!$C$16</f>
        <v>7500</v>
      </c>
      <c r="N44" s="20" t="n">
        <f aca="false">N36*前提!$C$16</f>
        <v>7500</v>
      </c>
    </row>
    <row r="45" customFormat="false" ht="15" hidden="false" customHeight="true" outlineLevel="0" collapsed="false">
      <c r="A45" s="3" t="s">
        <v>122</v>
      </c>
      <c r="B45" s="3" t="s">
        <v>119</v>
      </c>
      <c r="C45" s="20" t="n">
        <f aca="false">前提!$C$19*前提!$C$20*C32</f>
        <v>4500</v>
      </c>
      <c r="D45" s="20" t="n">
        <f aca="false">前提!$C$19*前提!$C$20*D32</f>
        <v>10500</v>
      </c>
      <c r="E45" s="20" t="n">
        <f aca="false">前提!$C$19*前提!$C$20*E32</f>
        <v>13500</v>
      </c>
      <c r="F45" s="20" t="n">
        <f aca="false">前提!$C$19*前提!$C$20*F32</f>
        <v>15000</v>
      </c>
      <c r="G45" s="20" t="n">
        <f aca="false">前提!$C$19*前提!$C$20*G32</f>
        <v>15000</v>
      </c>
      <c r="H45" s="20" t="n">
        <f aca="false">前提!$C$19*前提!$C$20*H32</f>
        <v>15000</v>
      </c>
      <c r="I45" s="20" t="n">
        <f aca="false">前提!$C$19*前提!$C$20*I32</f>
        <v>15000</v>
      </c>
      <c r="J45" s="20" t="n">
        <f aca="false">前提!$C$19*前提!$C$20*J32</f>
        <v>15000</v>
      </c>
      <c r="K45" s="20" t="n">
        <f aca="false">前提!$C$19*前提!$C$20*K32</f>
        <v>15000</v>
      </c>
      <c r="L45" s="20" t="n">
        <f aca="false">前提!$C$19*前提!$C$20*L32</f>
        <v>15000</v>
      </c>
      <c r="M45" s="20" t="n">
        <f aca="false">前提!$C$19*前提!$C$20*M32</f>
        <v>15000</v>
      </c>
      <c r="N45" s="20" t="n">
        <f aca="false">前提!$C$19*前提!$C$20*N32</f>
        <v>15000</v>
      </c>
    </row>
    <row r="46" customFormat="false" ht="15" hidden="false" customHeight="true" outlineLevel="0" collapsed="false">
      <c r="A46" s="12" t="s">
        <v>123</v>
      </c>
      <c r="B46" s="3" t="s">
        <v>119</v>
      </c>
      <c r="C46" s="32" t="n">
        <f aca="false">C42+C43+C44+C45</f>
        <v>54198</v>
      </c>
      <c r="D46" s="32" t="n">
        <f aca="false">D42+D43+D44+D45</f>
        <v>126597.9</v>
      </c>
      <c r="E46" s="32" t="n">
        <f aca="false">E42+E43+E44+E45</f>
        <v>163047</v>
      </c>
      <c r="F46" s="32" t="n">
        <f aca="false">F42+F43+F44+F45</f>
        <v>181520.7</v>
      </c>
      <c r="G46" s="32" t="n">
        <f aca="false">G42+G43+G44+G45</f>
        <v>181973.7</v>
      </c>
      <c r="H46" s="32" t="n">
        <f aca="false">H42+H43+H44+H45</f>
        <v>182426.7</v>
      </c>
      <c r="I46" s="32" t="n">
        <f aca="false">I42+I43+I44+I45</f>
        <v>182879.7</v>
      </c>
      <c r="J46" s="32" t="n">
        <f aca="false">J42+J43+J44+J45</f>
        <v>183332.7</v>
      </c>
      <c r="K46" s="32" t="n">
        <f aca="false">K42+K43+K44+K45</f>
        <v>183785.7</v>
      </c>
      <c r="L46" s="32" t="n">
        <f aca="false">L42+L43+L44+L45</f>
        <v>184238.7</v>
      </c>
      <c r="M46" s="32" t="n">
        <f aca="false">M42+M43+M44+M45</f>
        <v>184691.7</v>
      </c>
      <c r="N46" s="32" t="n">
        <f aca="false">N42+N43+N44+N45</f>
        <v>185144.7</v>
      </c>
    </row>
    <row r="47" customFormat="false" ht="15" hidden="false" customHeight="true" outlineLevel="0" collapsed="false">
      <c r="A47" s="3" t="s">
        <v>124</v>
      </c>
      <c r="B47" s="3" t="s">
        <v>119</v>
      </c>
      <c r="C47" s="20" t="n">
        <f aca="false">C44*(1-前提!$C$17)</f>
        <v>1237.5</v>
      </c>
      <c r="D47" s="20" t="n">
        <f aca="false">D44*(1-前提!$C$17)</f>
        <v>2887.5</v>
      </c>
      <c r="E47" s="20" t="n">
        <f aca="false">E44*(1-前提!$C$17)</f>
        <v>3712.5</v>
      </c>
      <c r="F47" s="20" t="n">
        <f aca="false">F44*(1-前提!$C$17)</f>
        <v>4125</v>
      </c>
      <c r="G47" s="20" t="n">
        <f aca="false">G44*(1-前提!$C$17)</f>
        <v>4125</v>
      </c>
      <c r="H47" s="20" t="n">
        <f aca="false">H44*(1-前提!$C$17)</f>
        <v>4125</v>
      </c>
      <c r="I47" s="20" t="n">
        <f aca="false">I44*(1-前提!$C$17)</f>
        <v>4125</v>
      </c>
      <c r="J47" s="20" t="n">
        <f aca="false">J44*(1-前提!$C$17)</f>
        <v>4125</v>
      </c>
      <c r="K47" s="20" t="n">
        <f aca="false">K44*(1-前提!$C$17)</f>
        <v>4125</v>
      </c>
      <c r="L47" s="20" t="n">
        <f aca="false">L44*(1-前提!$C$17)</f>
        <v>4125</v>
      </c>
      <c r="M47" s="20" t="n">
        <f aca="false">M44*(1-前提!$C$17)</f>
        <v>4125</v>
      </c>
      <c r="N47" s="20" t="n">
        <f aca="false">N44*(1-前提!$C$17)</f>
        <v>4125</v>
      </c>
    </row>
    <row r="48" customFormat="false" ht="15" hidden="false" customHeight="true" outlineLevel="0" collapsed="false">
      <c r="A48" s="3" t="s">
        <v>125</v>
      </c>
      <c r="B48" s="3" t="s">
        <v>119</v>
      </c>
      <c r="C48" s="20" t="n">
        <f aca="false">前提!$C$21+前提!$C$22</f>
        <v>150000</v>
      </c>
      <c r="D48" s="20" t="n">
        <f aca="false">前提!$C$21+前提!$C$22</f>
        <v>150000</v>
      </c>
      <c r="E48" s="20" t="n">
        <f aca="false">前提!$C$21+前提!$C$22</f>
        <v>150000</v>
      </c>
      <c r="F48" s="20" t="n">
        <f aca="false">前提!$C$21+前提!$C$22</f>
        <v>150000</v>
      </c>
      <c r="G48" s="20" t="n">
        <f aca="false">前提!$C$21+前提!$C$22</f>
        <v>150000</v>
      </c>
      <c r="H48" s="20" t="n">
        <f aca="false">前提!$C$21+前提!$C$22</f>
        <v>150000</v>
      </c>
      <c r="I48" s="20" t="n">
        <f aca="false">前提!$C$21+前提!$C$22</f>
        <v>150000</v>
      </c>
      <c r="J48" s="20" t="n">
        <f aca="false">前提!$C$21+前提!$C$22</f>
        <v>150000</v>
      </c>
      <c r="K48" s="20" t="n">
        <f aca="false">前提!$C$21+前提!$C$22</f>
        <v>150000</v>
      </c>
      <c r="L48" s="20" t="n">
        <f aca="false">前提!$C$21+前提!$C$22</f>
        <v>150000</v>
      </c>
      <c r="M48" s="20" t="n">
        <f aca="false">前提!$C$21+前提!$C$22</f>
        <v>150000</v>
      </c>
      <c r="N48" s="20" t="n">
        <f aca="false">前提!$C$21+前提!$C$22</f>
        <v>150000</v>
      </c>
    </row>
    <row r="49" customFormat="false" ht="15" hidden="false" customHeight="true" outlineLevel="0" collapsed="false">
      <c r="A49" s="3" t="s">
        <v>126</v>
      </c>
      <c r="B49" s="3" t="s">
        <v>119</v>
      </c>
      <c r="C49" s="20" t="n">
        <f aca="false">前提!$C$23/12</f>
        <v>12500</v>
      </c>
      <c r="D49" s="20" t="n">
        <f aca="false">前提!$C$23/12</f>
        <v>12500</v>
      </c>
      <c r="E49" s="20" t="n">
        <f aca="false">前提!$C$23/12</f>
        <v>12500</v>
      </c>
      <c r="F49" s="20" t="n">
        <f aca="false">前提!$C$23/12</f>
        <v>12500</v>
      </c>
      <c r="G49" s="20" t="n">
        <f aca="false">前提!$C$23/12</f>
        <v>12500</v>
      </c>
      <c r="H49" s="20" t="n">
        <f aca="false">前提!$C$23/12</f>
        <v>12500</v>
      </c>
      <c r="I49" s="20" t="n">
        <f aca="false">前提!$C$23/12</f>
        <v>12500</v>
      </c>
      <c r="J49" s="20" t="n">
        <f aca="false">前提!$C$23/12</f>
        <v>12500</v>
      </c>
      <c r="K49" s="20" t="n">
        <f aca="false">前提!$C$23/12</f>
        <v>12500</v>
      </c>
      <c r="L49" s="20" t="n">
        <f aca="false">前提!$C$23/12</f>
        <v>12500</v>
      </c>
      <c r="M49" s="20" t="n">
        <f aca="false">前提!$C$23/12</f>
        <v>12500</v>
      </c>
      <c r="N49" s="20" t="n">
        <f aca="false">前提!$C$23/12</f>
        <v>12500</v>
      </c>
    </row>
    <row r="50" customFormat="false" ht="15" hidden="false" customHeight="true" outlineLevel="0" collapsed="false">
      <c r="A50" s="12" t="s">
        <v>127</v>
      </c>
      <c r="B50" s="3" t="s">
        <v>119</v>
      </c>
      <c r="C50" s="32" t="n">
        <f aca="false">C46-C47-C48-C49</f>
        <v>-109539.5</v>
      </c>
      <c r="D50" s="32" t="n">
        <f aca="false">D46-D47-D48-D49</f>
        <v>-38789.6</v>
      </c>
      <c r="E50" s="32" t="n">
        <f aca="false">E46-E47-E48-E49</f>
        <v>-3165.49999999997</v>
      </c>
      <c r="F50" s="32" t="n">
        <f aca="false">F46-F47-F48-F49</f>
        <v>14895.7</v>
      </c>
      <c r="G50" s="32" t="n">
        <f aca="false">G46-G47-G48-G49</f>
        <v>15348.7</v>
      </c>
      <c r="H50" s="32" t="n">
        <f aca="false">H46-H47-H48-H49</f>
        <v>15801.7</v>
      </c>
      <c r="I50" s="32" t="n">
        <f aca="false">I46-I47-I48-I49</f>
        <v>16254.7</v>
      </c>
      <c r="J50" s="32" t="n">
        <f aca="false">J46-J47-J48-J49</f>
        <v>16707.7</v>
      </c>
      <c r="K50" s="32" t="n">
        <f aca="false">K46-K47-K48-K49</f>
        <v>17160.7</v>
      </c>
      <c r="L50" s="32" t="n">
        <f aca="false">L46-L47-L48-L49</f>
        <v>17613.7</v>
      </c>
      <c r="M50" s="32" t="n">
        <f aca="false">M46-M47-M48-M49</f>
        <v>18066.7</v>
      </c>
      <c r="N50" s="32" t="n">
        <f aca="false">N46-N47-N48-N49</f>
        <v>18519.7</v>
      </c>
    </row>
    <row r="51" customFormat="false" ht="15" hidden="false" customHeight="true" outlineLevel="0" collapsed="false">
      <c r="A51" s="3" t="s">
        <v>128</v>
      </c>
      <c r="B51" s="3" t="s">
        <v>119</v>
      </c>
      <c r="C51" s="8" t="n">
        <f aca="false">前提!$C$30</f>
        <v>53242.0848164408</v>
      </c>
      <c r="D51" s="8" t="n">
        <f aca="false">前提!$C$30</f>
        <v>53242.0848164408</v>
      </c>
      <c r="E51" s="8" t="n">
        <f aca="false">前提!$C$30</f>
        <v>53242.0848164408</v>
      </c>
      <c r="F51" s="8" t="n">
        <f aca="false">前提!$C$30</f>
        <v>53242.0848164408</v>
      </c>
      <c r="G51" s="8" t="n">
        <f aca="false">前提!$C$30</f>
        <v>53242.0848164408</v>
      </c>
      <c r="H51" s="8" t="n">
        <f aca="false">前提!$C$30</f>
        <v>53242.0848164408</v>
      </c>
      <c r="I51" s="8" t="n">
        <f aca="false">前提!$C$30</f>
        <v>53242.0848164408</v>
      </c>
      <c r="J51" s="8" t="n">
        <f aca="false">前提!$C$30</f>
        <v>53242.0848164408</v>
      </c>
      <c r="K51" s="8" t="n">
        <f aca="false">前提!$C$30</f>
        <v>53242.0848164408</v>
      </c>
      <c r="L51" s="8" t="n">
        <f aca="false">前提!$C$30</f>
        <v>53242.0848164408</v>
      </c>
      <c r="M51" s="8" t="n">
        <f aca="false">前提!$C$30</f>
        <v>53242.0848164408</v>
      </c>
      <c r="N51" s="8" t="n">
        <f aca="false">前提!$C$30</f>
        <v>53242.0848164408</v>
      </c>
    </row>
    <row r="52" customFormat="false" ht="15" hidden="false" customHeight="true" outlineLevel="0" collapsed="false">
      <c r="A52" s="3" t="s">
        <v>129</v>
      </c>
      <c r="B52" s="3" t="s">
        <v>119</v>
      </c>
      <c r="C52" s="20" t="n">
        <f aca="false">C50-C51</f>
        <v>-162781.584816441</v>
      </c>
      <c r="D52" s="20" t="n">
        <f aca="false">D50-D51</f>
        <v>-92031.6848164409</v>
      </c>
      <c r="E52" s="20" t="n">
        <f aca="false">E50-E51</f>
        <v>-56407.5848164408</v>
      </c>
      <c r="F52" s="20" t="n">
        <f aca="false">F50-F51</f>
        <v>-38346.3848164408</v>
      </c>
      <c r="G52" s="20" t="n">
        <f aca="false">G50-G51</f>
        <v>-37893.3848164408</v>
      </c>
      <c r="H52" s="20" t="n">
        <f aca="false">H50-H51</f>
        <v>-37440.3848164408</v>
      </c>
      <c r="I52" s="20" t="n">
        <f aca="false">I50-I51</f>
        <v>-36987.3848164408</v>
      </c>
      <c r="J52" s="20" t="n">
        <f aca="false">J50-J51</f>
        <v>-36534.3848164408</v>
      </c>
      <c r="K52" s="20" t="n">
        <f aca="false">K50-K51</f>
        <v>-36081.3848164408</v>
      </c>
      <c r="L52" s="20" t="n">
        <f aca="false">L50-L51</f>
        <v>-35628.3848164408</v>
      </c>
      <c r="M52" s="20" t="n">
        <f aca="false">M50-M51</f>
        <v>-35175.3848164408</v>
      </c>
      <c r="N52" s="20" t="n">
        <f aca="false">N50-N51</f>
        <v>-34722.3848164408</v>
      </c>
    </row>
    <row r="53" customFormat="false" ht="15" hidden="false" customHeight="true" outlineLevel="0" collapsed="false">
      <c r="A53" s="12" t="s">
        <v>130</v>
      </c>
      <c r="B53" s="3" t="s">
        <v>119</v>
      </c>
      <c r="C53" s="33" t="n">
        <f aca="false">前提!$C$31+C52</f>
        <v>2337218.41518356</v>
      </c>
      <c r="D53" s="32" t="n">
        <f aca="false">C53+D52</f>
        <v>2245186.73036712</v>
      </c>
      <c r="E53" s="32" t="n">
        <f aca="false">D53+E52</f>
        <v>2188779.14555068</v>
      </c>
      <c r="F53" s="32" t="n">
        <f aca="false">E53+F52</f>
        <v>2150432.76073424</v>
      </c>
      <c r="G53" s="32" t="n">
        <f aca="false">F53+G52</f>
        <v>2112539.3759178</v>
      </c>
      <c r="H53" s="32" t="n">
        <f aca="false">G53+H52</f>
        <v>2075098.99110135</v>
      </c>
      <c r="I53" s="32" t="n">
        <f aca="false">H53+I52</f>
        <v>2038111.60628491</v>
      </c>
      <c r="J53" s="32" t="n">
        <f aca="false">I53+J52</f>
        <v>2001577.22146847</v>
      </c>
      <c r="K53" s="32" t="n">
        <f aca="false">J53+K52</f>
        <v>1965495.83665203</v>
      </c>
      <c r="L53" s="32" t="n">
        <f aca="false">K53+L52</f>
        <v>1929867.45183559</v>
      </c>
      <c r="M53" s="32" t="n">
        <f aca="false">L53+M52</f>
        <v>1894692.06701915</v>
      </c>
      <c r="N53" s="32" t="n">
        <f aca="false">M53+N52</f>
        <v>1859969.68220271</v>
      </c>
    </row>
    <row r="56" customFormat="false" ht="15" hidden="false" customHeight="true" outlineLevel="0" collapsed="false">
      <c r="A56" s="27" t="s">
        <v>132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customFormat="false" ht="15" hidden="false" customHeight="true" outlineLevel="0" collapsed="false">
      <c r="A57" s="3" t="s">
        <v>106</v>
      </c>
      <c r="B57" s="7" t="s">
        <v>107</v>
      </c>
      <c r="C57" s="29" t="n">
        <f aca="false">C$4</f>
        <v>0.3</v>
      </c>
      <c r="D57" s="29" t="n">
        <f aca="false">D$4</f>
        <v>0.7</v>
      </c>
      <c r="E57" s="29" t="n">
        <f aca="false">E$4</f>
        <v>0.9</v>
      </c>
      <c r="F57" s="29" t="n">
        <f aca="false">F$4</f>
        <v>1</v>
      </c>
      <c r="G57" s="29" t="n">
        <f aca="false">G$4</f>
        <v>1</v>
      </c>
      <c r="H57" s="29" t="n">
        <f aca="false">H$4</f>
        <v>1</v>
      </c>
      <c r="I57" s="29" t="n">
        <f aca="false">I$4</f>
        <v>1</v>
      </c>
      <c r="J57" s="29" t="n">
        <f aca="false">J$4</f>
        <v>1</v>
      </c>
      <c r="K57" s="29" t="n">
        <f aca="false">K$4</f>
        <v>1</v>
      </c>
      <c r="L57" s="29" t="n">
        <f aca="false">L$4</f>
        <v>1</v>
      </c>
      <c r="M57" s="29" t="n">
        <f aca="false">M$4</f>
        <v>1</v>
      </c>
      <c r="N57" s="29" t="n">
        <f aca="false">N$4</f>
        <v>1</v>
      </c>
    </row>
    <row r="58" customFormat="false" ht="15" hidden="false" customHeight="true" outlineLevel="0" collapsed="false">
      <c r="A58" s="3" t="s">
        <v>108</v>
      </c>
      <c r="B58" s="3" t="s">
        <v>109</v>
      </c>
      <c r="C58" s="30" t="n">
        <f aca="false">前提!$D$5*前提!$D$6*前提!$D$7</f>
        <v>162</v>
      </c>
      <c r="D58" s="30" t="n">
        <f aca="false">前提!$D$5*前提!$D$6*前提!$D$7</f>
        <v>162</v>
      </c>
      <c r="E58" s="30" t="n">
        <f aca="false">前提!$D$5*前提!$D$6*前提!$D$7</f>
        <v>162</v>
      </c>
      <c r="F58" s="30" t="n">
        <f aca="false">前提!$D$5*前提!$D$6*前提!$D$7</f>
        <v>162</v>
      </c>
      <c r="G58" s="30" t="n">
        <f aca="false">前提!$D$5*前提!$D$6*前提!$D$7</f>
        <v>162</v>
      </c>
      <c r="H58" s="30" t="n">
        <f aca="false">前提!$D$5*前提!$D$6*前提!$D$7</f>
        <v>162</v>
      </c>
      <c r="I58" s="30" t="n">
        <f aca="false">前提!$D$5*前提!$D$6*前提!$D$7</f>
        <v>162</v>
      </c>
      <c r="J58" s="30" t="n">
        <f aca="false">前提!$D$5*前提!$D$6*前提!$D$7</f>
        <v>162</v>
      </c>
      <c r="K58" s="30" t="n">
        <f aca="false">前提!$D$5*前提!$D$6*前提!$D$7</f>
        <v>162</v>
      </c>
      <c r="L58" s="30" t="n">
        <f aca="false">前提!$D$5*前提!$D$6*前提!$D$7</f>
        <v>162</v>
      </c>
      <c r="M58" s="30" t="n">
        <f aca="false">前提!$D$5*前提!$D$6*前提!$D$7</f>
        <v>162</v>
      </c>
      <c r="N58" s="30" t="n">
        <f aca="false">前提!$D$5*前提!$D$6*前提!$D$7</f>
        <v>162</v>
      </c>
    </row>
    <row r="59" customFormat="false" ht="15" hidden="false" customHeight="true" outlineLevel="0" collapsed="false">
      <c r="A59" s="3" t="s">
        <v>110</v>
      </c>
      <c r="B59" s="3" t="s">
        <v>109</v>
      </c>
      <c r="C59" s="30" t="n">
        <f aca="false">C58*前提!$D$8*C57</f>
        <v>8.748</v>
      </c>
      <c r="D59" s="30" t="n">
        <f aca="false">D58*前提!$D$8*D57</f>
        <v>20.412</v>
      </c>
      <c r="E59" s="30" t="n">
        <f aca="false">E58*前提!$D$8*E57</f>
        <v>26.244</v>
      </c>
      <c r="F59" s="30" t="n">
        <f aca="false">F58*前提!$D$8*F57</f>
        <v>29.16</v>
      </c>
      <c r="G59" s="30" t="n">
        <f aca="false">G58*前提!$D$8*G57</f>
        <v>29.16</v>
      </c>
      <c r="H59" s="30" t="n">
        <f aca="false">H58*前提!$D$8*H57</f>
        <v>29.16</v>
      </c>
      <c r="I59" s="30" t="n">
        <f aca="false">I58*前提!$D$8*I57</f>
        <v>29.16</v>
      </c>
      <c r="J59" s="30" t="n">
        <f aca="false">J58*前提!$D$8*J57</f>
        <v>29.16</v>
      </c>
      <c r="K59" s="30" t="n">
        <f aca="false">K58*前提!$D$8*K57</f>
        <v>29.16</v>
      </c>
      <c r="L59" s="30" t="n">
        <f aca="false">L58*前提!$D$8*L57</f>
        <v>29.16</v>
      </c>
      <c r="M59" s="30" t="n">
        <f aca="false">M58*前提!$D$8*M57</f>
        <v>29.16</v>
      </c>
      <c r="N59" s="30" t="n">
        <f aca="false">N58*前提!$D$8*N57</f>
        <v>29.16</v>
      </c>
    </row>
    <row r="60" customFormat="false" ht="15" hidden="false" customHeight="true" outlineLevel="0" collapsed="false">
      <c r="A60" s="3" t="s">
        <v>111</v>
      </c>
      <c r="B60" s="3" t="s">
        <v>109</v>
      </c>
      <c r="C60" s="30" t="n">
        <f aca="false">前提!$D$9*C57</f>
        <v>1.2</v>
      </c>
      <c r="D60" s="30" t="n">
        <f aca="false">前提!$D$9*D57</f>
        <v>2.8</v>
      </c>
      <c r="E60" s="30" t="n">
        <f aca="false">前提!$D$9*E57</f>
        <v>3.6</v>
      </c>
      <c r="F60" s="30" t="n">
        <f aca="false">前提!$D$9*F57</f>
        <v>4</v>
      </c>
      <c r="G60" s="30" t="n">
        <f aca="false">前提!$D$9*G57</f>
        <v>4</v>
      </c>
      <c r="H60" s="30" t="n">
        <f aca="false">前提!$D$9*H57</f>
        <v>4</v>
      </c>
      <c r="I60" s="30" t="n">
        <f aca="false">前提!$D$9*I57</f>
        <v>4</v>
      </c>
      <c r="J60" s="30" t="n">
        <f aca="false">前提!$D$9*J57</f>
        <v>4</v>
      </c>
      <c r="K60" s="30" t="n">
        <f aca="false">前提!$D$9*K57</f>
        <v>4</v>
      </c>
      <c r="L60" s="30" t="n">
        <f aca="false">前提!$D$9*L57</f>
        <v>4</v>
      </c>
      <c r="M60" s="30" t="n">
        <f aca="false">前提!$D$9*M57</f>
        <v>4</v>
      </c>
      <c r="N60" s="30" t="n">
        <f aca="false">前提!$D$9*N57</f>
        <v>4</v>
      </c>
    </row>
    <row r="61" customFormat="false" ht="15" hidden="false" customHeight="true" outlineLevel="0" collapsed="false">
      <c r="A61" s="3" t="s">
        <v>112</v>
      </c>
      <c r="B61" s="3" t="s">
        <v>109</v>
      </c>
      <c r="C61" s="30" t="n">
        <f aca="false">前提!$D$15*C57</f>
        <v>1.5</v>
      </c>
      <c r="D61" s="30" t="n">
        <f aca="false">前提!$D$15*D57</f>
        <v>3.5</v>
      </c>
      <c r="E61" s="30" t="n">
        <f aca="false">前提!$D$15*E57</f>
        <v>4.5</v>
      </c>
      <c r="F61" s="30" t="n">
        <f aca="false">前提!$D$15*F57</f>
        <v>5</v>
      </c>
      <c r="G61" s="30" t="n">
        <f aca="false">前提!$D$15*G57</f>
        <v>5</v>
      </c>
      <c r="H61" s="30" t="n">
        <f aca="false">前提!$D$15*H57</f>
        <v>5</v>
      </c>
      <c r="I61" s="30" t="n">
        <f aca="false">前提!$D$15*I57</f>
        <v>5</v>
      </c>
      <c r="J61" s="30" t="n">
        <f aca="false">前提!$D$15*J57</f>
        <v>5</v>
      </c>
      <c r="K61" s="30" t="n">
        <f aca="false">前提!$D$15*K57</f>
        <v>5</v>
      </c>
      <c r="L61" s="30" t="n">
        <f aca="false">前提!$D$15*L57</f>
        <v>5</v>
      </c>
      <c r="M61" s="30" t="n">
        <f aca="false">前提!$D$15*M57</f>
        <v>5</v>
      </c>
      <c r="N61" s="30" t="n">
        <f aca="false">前提!$D$15*N57</f>
        <v>5</v>
      </c>
    </row>
    <row r="62" customFormat="false" ht="15" hidden="false" customHeight="true" outlineLevel="0" collapsed="false">
      <c r="A62" s="3" t="s">
        <v>113</v>
      </c>
      <c r="B62" s="3" t="s">
        <v>109</v>
      </c>
      <c r="C62" s="30" t="n">
        <f aca="false">C61*前提!$D$18</f>
        <v>0.3</v>
      </c>
      <c r="D62" s="30" t="n">
        <f aca="false">D61*前提!$D$18</f>
        <v>0.7</v>
      </c>
      <c r="E62" s="30" t="n">
        <f aca="false">E61*前提!$D$18</f>
        <v>0.9</v>
      </c>
      <c r="F62" s="30" t="n">
        <f aca="false">F61*前提!$D$18</f>
        <v>1</v>
      </c>
      <c r="G62" s="30" t="n">
        <f aca="false">G61*前提!$D$18</f>
        <v>1</v>
      </c>
      <c r="H62" s="30" t="n">
        <f aca="false">H61*前提!$D$18</f>
        <v>1</v>
      </c>
      <c r="I62" s="30" t="n">
        <f aca="false">I61*前提!$D$18</f>
        <v>1</v>
      </c>
      <c r="J62" s="30" t="n">
        <f aca="false">J61*前提!$D$18</f>
        <v>1</v>
      </c>
      <c r="K62" s="30" t="n">
        <f aca="false">K61*前提!$D$18</f>
        <v>1</v>
      </c>
      <c r="L62" s="30" t="n">
        <f aca="false">L61*前提!$D$18</f>
        <v>1</v>
      </c>
      <c r="M62" s="30" t="n">
        <f aca="false">M61*前提!$D$18</f>
        <v>1</v>
      </c>
      <c r="N62" s="30" t="n">
        <f aca="false">N61*前提!$D$18</f>
        <v>1</v>
      </c>
    </row>
    <row r="63" customFormat="false" ht="15" hidden="false" customHeight="true" outlineLevel="0" collapsed="false">
      <c r="A63" s="3" t="s">
        <v>114</v>
      </c>
      <c r="B63" s="3" t="s">
        <v>109</v>
      </c>
      <c r="C63" s="30" t="n">
        <f aca="false">C9+C10+C12+前提!$D$33*前提!$D$34*C7</f>
        <v>6.336</v>
      </c>
      <c r="D63" s="30" t="n">
        <f aca="false">D9+D10+D12+前提!$D$33*前提!$D$34*D7</f>
        <v>14.784</v>
      </c>
      <c r="E63" s="30" t="n">
        <f aca="false">E9+E10+E12+前提!$D$33*前提!$D$34*E7</f>
        <v>19.008</v>
      </c>
      <c r="F63" s="30" t="n">
        <f aca="false">F9+F10+F12+前提!$D$33*前提!$D$34*F7</f>
        <v>21.12</v>
      </c>
      <c r="G63" s="30" t="n">
        <f aca="false">G9+G10+G12+前提!$D$33*前提!$D$34*G7</f>
        <v>21.12</v>
      </c>
      <c r="H63" s="30" t="n">
        <f aca="false">H9+H10+H12+前提!$D$33*前提!$D$34*H7</f>
        <v>21.12</v>
      </c>
      <c r="I63" s="30" t="n">
        <f aca="false">I9+I10+I12+前提!$D$33*前提!$D$34*I7</f>
        <v>21.12</v>
      </c>
      <c r="J63" s="30" t="n">
        <f aca="false">J9+J10+J12+前提!$D$33*前提!$D$34*J7</f>
        <v>21.12</v>
      </c>
      <c r="K63" s="30" t="n">
        <f aca="false">K9+K10+K12+前提!$D$33*前提!$D$34*K7</f>
        <v>21.12</v>
      </c>
      <c r="L63" s="30" t="n">
        <f aca="false">L9+L10+L12+前提!$D$33*前提!$D$34*L7</f>
        <v>21.12</v>
      </c>
      <c r="M63" s="30" t="n">
        <f aca="false">M9+M10+M12+前提!$D$33*前提!$D$34*M7</f>
        <v>21.12</v>
      </c>
      <c r="N63" s="30" t="n">
        <f aca="false">N9+N10+N12+前提!$D$33*前提!$D$34*N7</f>
        <v>21.12</v>
      </c>
    </row>
    <row r="64" customFormat="false" ht="15" hidden="false" customHeight="true" outlineLevel="0" collapsed="false">
      <c r="A64" s="3" t="s">
        <v>115</v>
      </c>
      <c r="B64" s="3" t="s">
        <v>109</v>
      </c>
      <c r="C64" s="30" t="n">
        <f aca="false">0</f>
        <v>0</v>
      </c>
      <c r="D64" s="30" t="n">
        <f aca="false">C64+C63</f>
        <v>6.336</v>
      </c>
      <c r="E64" s="30" t="n">
        <f aca="false">D64+D63</f>
        <v>21.12</v>
      </c>
      <c r="F64" s="30" t="n">
        <f aca="false">E64+E63</f>
        <v>40.128</v>
      </c>
      <c r="G64" s="30" t="n">
        <f aca="false">F64+F63</f>
        <v>61.248</v>
      </c>
      <c r="H64" s="30" t="n">
        <f aca="false">G64+G63</f>
        <v>82.368</v>
      </c>
      <c r="I64" s="30" t="n">
        <f aca="false">H64+H63</f>
        <v>103.488</v>
      </c>
      <c r="J64" s="30" t="n">
        <f aca="false">I64+I63</f>
        <v>124.608</v>
      </c>
      <c r="K64" s="30" t="n">
        <f aca="false">J64+J63</f>
        <v>145.728</v>
      </c>
      <c r="L64" s="30" t="n">
        <f aca="false">K64+K63</f>
        <v>166.848</v>
      </c>
      <c r="M64" s="30" t="n">
        <f aca="false">L64+L63</f>
        <v>187.968</v>
      </c>
      <c r="N64" s="30" t="n">
        <f aca="false">M64+M63</f>
        <v>209.088</v>
      </c>
    </row>
    <row r="65" customFormat="false" ht="15" hidden="false" customHeight="true" outlineLevel="0" collapsed="false">
      <c r="A65" s="3" t="s">
        <v>116</v>
      </c>
      <c r="B65" s="3" t="s">
        <v>109</v>
      </c>
      <c r="C65" s="30" t="n">
        <f aca="false">C64*前提!$D$11</f>
        <v>0</v>
      </c>
      <c r="D65" s="30" t="n">
        <f aca="false">D64*前提!$D$11</f>
        <v>0.6336</v>
      </c>
      <c r="E65" s="30" t="n">
        <f aca="false">E64*前提!$D$11</f>
        <v>2.112</v>
      </c>
      <c r="F65" s="30" t="n">
        <f aca="false">F64*前提!$D$11</f>
        <v>4.0128</v>
      </c>
      <c r="G65" s="30" t="n">
        <f aca="false">G64*前提!$D$11</f>
        <v>6.1248</v>
      </c>
      <c r="H65" s="30" t="n">
        <f aca="false">H64*前提!$D$11</f>
        <v>8.2368</v>
      </c>
      <c r="I65" s="30" t="n">
        <f aca="false">I64*前提!$D$11</f>
        <v>10.3488</v>
      </c>
      <c r="J65" s="30" t="n">
        <f aca="false">J64*前提!$D$11</f>
        <v>12.4608</v>
      </c>
      <c r="K65" s="30" t="n">
        <f aca="false">K64*前提!$D$11</f>
        <v>14.5728</v>
      </c>
      <c r="L65" s="30" t="n">
        <f aca="false">L64*前提!$D$11</f>
        <v>16.6848</v>
      </c>
      <c r="M65" s="30" t="n">
        <f aca="false">M64*前提!$D$11</f>
        <v>18.7968</v>
      </c>
      <c r="N65" s="30" t="n">
        <f aca="false">N64*前提!$D$11</f>
        <v>20.9088</v>
      </c>
    </row>
    <row r="66" customFormat="false" ht="15" hidden="false" customHeight="true" outlineLevel="0" collapsed="false">
      <c r="A66" s="12" t="s">
        <v>117</v>
      </c>
      <c r="B66" s="3" t="s">
        <v>109</v>
      </c>
      <c r="C66" s="31" t="n">
        <f aca="false">C63+C65</f>
        <v>6.336</v>
      </c>
      <c r="D66" s="31" t="n">
        <f aca="false">D63+D65</f>
        <v>15.4176</v>
      </c>
      <c r="E66" s="31" t="n">
        <f aca="false">E63+E65</f>
        <v>21.12</v>
      </c>
      <c r="F66" s="31" t="n">
        <f aca="false">F63+F65</f>
        <v>25.1328</v>
      </c>
      <c r="G66" s="31" t="n">
        <f aca="false">G63+G65</f>
        <v>27.2448</v>
      </c>
      <c r="H66" s="31" t="n">
        <f aca="false">H63+H65</f>
        <v>29.3568</v>
      </c>
      <c r="I66" s="31" t="n">
        <f aca="false">I63+I65</f>
        <v>31.4688</v>
      </c>
      <c r="J66" s="31" t="n">
        <f aca="false">J63+J65</f>
        <v>33.5808</v>
      </c>
      <c r="K66" s="31" t="n">
        <f aca="false">K63+K65</f>
        <v>35.6928</v>
      </c>
      <c r="L66" s="31" t="n">
        <f aca="false">L63+L65</f>
        <v>37.8048</v>
      </c>
      <c r="M66" s="31" t="n">
        <f aca="false">M63+M65</f>
        <v>39.9168</v>
      </c>
      <c r="N66" s="31" t="n">
        <f aca="false">N63+N65</f>
        <v>42.0288</v>
      </c>
    </row>
    <row r="67" customFormat="false" ht="15" hidden="false" customHeight="true" outlineLevel="0" collapsed="false">
      <c r="A67" s="3" t="s">
        <v>118</v>
      </c>
      <c r="B67" s="3" t="s">
        <v>119</v>
      </c>
      <c r="C67" s="20" t="n">
        <f aca="false">(C9+C10+C12)*前提!$D$10+前提!$D$33*前提!$D$34*C7*前提!$D$35+C15*前提!$D$10*前提!$D$12</f>
        <v>57369.6</v>
      </c>
      <c r="D67" s="20" t="n">
        <f aca="false">(D9+D10+D12)*前提!$D$10+前提!$D$33*前提!$D$34*D7*前提!$D$35+D15*前提!$D$10*前提!$D$12</f>
        <v>133862.4</v>
      </c>
      <c r="E67" s="20" t="n">
        <f aca="false">(E9+E10+E12)*前提!$D$10+前提!$D$33*前提!$D$34*E7*前提!$D$35+E15*前提!$D$10*前提!$D$12</f>
        <v>172108.8</v>
      </c>
      <c r="F67" s="20" t="n">
        <f aca="false">(F9+F10+F12)*前提!$D$10+前提!$D$33*前提!$D$34*F7*前提!$D$35+F15*前提!$D$10*前提!$D$12</f>
        <v>191232</v>
      </c>
      <c r="G67" s="20" t="n">
        <f aca="false">(G9+G10+G12)*前提!$D$10+前提!$D$33*前提!$D$34*G7*前提!$D$35+G15*前提!$D$10*前提!$D$12</f>
        <v>191232</v>
      </c>
      <c r="H67" s="20" t="n">
        <f aca="false">(H9+H10+H12)*前提!$D$10+前提!$D$33*前提!$D$34*H7*前提!$D$35+H15*前提!$D$10*前提!$D$12</f>
        <v>191232</v>
      </c>
      <c r="I67" s="20" t="n">
        <f aca="false">(I9+I10+I12)*前提!$D$10+前提!$D$33*前提!$D$34*I7*前提!$D$35+I15*前提!$D$10*前提!$D$12</f>
        <v>191232</v>
      </c>
      <c r="J67" s="20" t="n">
        <f aca="false">(J9+J10+J12)*前提!$D$10+前提!$D$33*前提!$D$34*J7*前提!$D$35+J15*前提!$D$10*前提!$D$12</f>
        <v>191232</v>
      </c>
      <c r="K67" s="20" t="n">
        <f aca="false">(K9+K10+K12)*前提!$D$10+前提!$D$33*前提!$D$34*K7*前提!$D$35+K15*前提!$D$10*前提!$D$12</f>
        <v>191232</v>
      </c>
      <c r="L67" s="20" t="n">
        <f aca="false">(L9+L10+L12)*前提!$D$10+前提!$D$33*前提!$D$34*L7*前提!$D$35+L15*前提!$D$10*前提!$D$12</f>
        <v>191232</v>
      </c>
      <c r="M67" s="20" t="n">
        <f aca="false">(M9+M10+M12)*前提!$D$10+前提!$D$33*前提!$D$34*M7*前提!$D$35+M15*前提!$D$10*前提!$D$12</f>
        <v>191232</v>
      </c>
      <c r="N67" s="20" t="n">
        <f aca="false">(N9+N10+N12)*前提!$D$10+前提!$D$33*前提!$D$34*N7*前提!$D$35+N15*前提!$D$10*前提!$D$12</f>
        <v>191232</v>
      </c>
    </row>
    <row r="68" customFormat="false" ht="15" hidden="false" customHeight="true" outlineLevel="0" collapsed="false">
      <c r="A68" s="3" t="s">
        <v>120</v>
      </c>
      <c r="B68" s="3" t="s">
        <v>119</v>
      </c>
      <c r="C68" s="20" t="n">
        <f aca="false">C64*前提!$D$13*前提!$D$14</f>
        <v>0</v>
      </c>
      <c r="D68" s="20" t="n">
        <f aca="false">D64*前提!$D$13*前提!$D$14</f>
        <v>316.8</v>
      </c>
      <c r="E68" s="20" t="n">
        <f aca="false">E64*前提!$D$13*前提!$D$14</f>
        <v>1056</v>
      </c>
      <c r="F68" s="20" t="n">
        <f aca="false">F64*前提!$D$13*前提!$D$14</f>
        <v>2006.4</v>
      </c>
      <c r="G68" s="20" t="n">
        <f aca="false">G64*前提!$D$13*前提!$D$14</f>
        <v>3062.4</v>
      </c>
      <c r="H68" s="20" t="n">
        <f aca="false">H64*前提!$D$13*前提!$D$14</f>
        <v>4118.4</v>
      </c>
      <c r="I68" s="20" t="n">
        <f aca="false">I64*前提!$D$13*前提!$D$14</f>
        <v>5174.4</v>
      </c>
      <c r="J68" s="20" t="n">
        <f aca="false">J64*前提!$D$13*前提!$D$14</f>
        <v>6230.4</v>
      </c>
      <c r="K68" s="20" t="n">
        <f aca="false">K64*前提!$D$13*前提!$D$14</f>
        <v>7286.4</v>
      </c>
      <c r="L68" s="20" t="n">
        <f aca="false">L64*前提!$D$13*前提!$D$14</f>
        <v>8342.4</v>
      </c>
      <c r="M68" s="20" t="n">
        <f aca="false">M64*前提!$D$13*前提!$D$14</f>
        <v>9398.4</v>
      </c>
      <c r="N68" s="20" t="n">
        <f aca="false">N64*前提!$D$13*前提!$D$14</f>
        <v>10454.4</v>
      </c>
    </row>
    <row r="69" customFormat="false" ht="15" hidden="false" customHeight="true" outlineLevel="0" collapsed="false">
      <c r="A69" s="3" t="s">
        <v>121</v>
      </c>
      <c r="B69" s="3" t="s">
        <v>119</v>
      </c>
      <c r="C69" s="20" t="n">
        <f aca="false">C61*前提!$D$16</f>
        <v>4500</v>
      </c>
      <c r="D69" s="20" t="n">
        <f aca="false">D61*前提!$D$16</f>
        <v>10500</v>
      </c>
      <c r="E69" s="20" t="n">
        <f aca="false">E61*前提!$D$16</f>
        <v>13500</v>
      </c>
      <c r="F69" s="20" t="n">
        <f aca="false">F61*前提!$D$16</f>
        <v>15000</v>
      </c>
      <c r="G69" s="20" t="n">
        <f aca="false">G61*前提!$D$16</f>
        <v>15000</v>
      </c>
      <c r="H69" s="20" t="n">
        <f aca="false">H61*前提!$D$16</f>
        <v>15000</v>
      </c>
      <c r="I69" s="20" t="n">
        <f aca="false">I61*前提!$D$16</f>
        <v>15000</v>
      </c>
      <c r="J69" s="20" t="n">
        <f aca="false">J61*前提!$D$16</f>
        <v>15000</v>
      </c>
      <c r="K69" s="20" t="n">
        <f aca="false">K61*前提!$D$16</f>
        <v>15000</v>
      </c>
      <c r="L69" s="20" t="n">
        <f aca="false">L61*前提!$D$16</f>
        <v>15000</v>
      </c>
      <c r="M69" s="20" t="n">
        <f aca="false">M61*前提!$D$16</f>
        <v>15000</v>
      </c>
      <c r="N69" s="20" t="n">
        <f aca="false">N61*前提!$D$16</f>
        <v>15000</v>
      </c>
    </row>
    <row r="70" customFormat="false" ht="15" hidden="false" customHeight="true" outlineLevel="0" collapsed="false">
      <c r="A70" s="3" t="s">
        <v>122</v>
      </c>
      <c r="B70" s="3" t="s">
        <v>119</v>
      </c>
      <c r="C70" s="20" t="n">
        <f aca="false">前提!$D$19*前提!$D$20*C57</f>
        <v>7500</v>
      </c>
      <c r="D70" s="20" t="n">
        <f aca="false">前提!$D$19*前提!$D$20*D57</f>
        <v>17500</v>
      </c>
      <c r="E70" s="20" t="n">
        <f aca="false">前提!$D$19*前提!$D$20*E57</f>
        <v>22500</v>
      </c>
      <c r="F70" s="20" t="n">
        <f aca="false">前提!$D$19*前提!$D$20*F57</f>
        <v>25000</v>
      </c>
      <c r="G70" s="20" t="n">
        <f aca="false">前提!$D$19*前提!$D$20*G57</f>
        <v>25000</v>
      </c>
      <c r="H70" s="20" t="n">
        <f aca="false">前提!$D$19*前提!$D$20*H57</f>
        <v>25000</v>
      </c>
      <c r="I70" s="20" t="n">
        <f aca="false">前提!$D$19*前提!$D$20*I57</f>
        <v>25000</v>
      </c>
      <c r="J70" s="20" t="n">
        <f aca="false">前提!$D$19*前提!$D$20*J57</f>
        <v>25000</v>
      </c>
      <c r="K70" s="20" t="n">
        <f aca="false">前提!$D$19*前提!$D$20*K57</f>
        <v>25000</v>
      </c>
      <c r="L70" s="20" t="n">
        <f aca="false">前提!$D$19*前提!$D$20*L57</f>
        <v>25000</v>
      </c>
      <c r="M70" s="20" t="n">
        <f aca="false">前提!$D$19*前提!$D$20*M57</f>
        <v>25000</v>
      </c>
      <c r="N70" s="20" t="n">
        <f aca="false">前提!$D$19*前提!$D$20*N57</f>
        <v>25000</v>
      </c>
    </row>
    <row r="71" customFormat="false" ht="15" hidden="false" customHeight="true" outlineLevel="0" collapsed="false">
      <c r="A71" s="12" t="s">
        <v>123</v>
      </c>
      <c r="B71" s="3" t="s">
        <v>119</v>
      </c>
      <c r="C71" s="32" t="n">
        <f aca="false">C67+C68+C69+C70</f>
        <v>69369.6</v>
      </c>
      <c r="D71" s="32" t="n">
        <f aca="false">D67+D68+D69+D70</f>
        <v>162179.2</v>
      </c>
      <c r="E71" s="32" t="n">
        <f aca="false">E67+E68+E69+E70</f>
        <v>209164.8</v>
      </c>
      <c r="F71" s="32" t="n">
        <f aca="false">F67+F68+F69+F70</f>
        <v>233238.4</v>
      </c>
      <c r="G71" s="32" t="n">
        <f aca="false">G67+G68+G69+G70</f>
        <v>234294.4</v>
      </c>
      <c r="H71" s="32" t="n">
        <f aca="false">H67+H68+H69+H70</f>
        <v>235350.4</v>
      </c>
      <c r="I71" s="32" t="n">
        <f aca="false">I67+I68+I69+I70</f>
        <v>236406.4</v>
      </c>
      <c r="J71" s="32" t="n">
        <f aca="false">J67+J68+J69+J70</f>
        <v>237462.4</v>
      </c>
      <c r="K71" s="32" t="n">
        <f aca="false">K67+K68+K69+K70</f>
        <v>238518.4</v>
      </c>
      <c r="L71" s="32" t="n">
        <f aca="false">L67+L68+L69+L70</f>
        <v>239574.4</v>
      </c>
      <c r="M71" s="32" t="n">
        <f aca="false">M67+M68+M69+M70</f>
        <v>240630.4</v>
      </c>
      <c r="N71" s="32" t="n">
        <f aca="false">N67+N68+N69+N70</f>
        <v>241686.4</v>
      </c>
    </row>
    <row r="72" customFormat="false" ht="15" hidden="false" customHeight="true" outlineLevel="0" collapsed="false">
      <c r="A72" s="3" t="s">
        <v>124</v>
      </c>
      <c r="B72" s="3" t="s">
        <v>119</v>
      </c>
      <c r="C72" s="20" t="n">
        <f aca="false">C69*(1-前提!$D$17)</f>
        <v>2250</v>
      </c>
      <c r="D72" s="20" t="n">
        <f aca="false">D69*(1-前提!$D$17)</f>
        <v>5250</v>
      </c>
      <c r="E72" s="20" t="n">
        <f aca="false">E69*(1-前提!$D$17)</f>
        <v>6750</v>
      </c>
      <c r="F72" s="20" t="n">
        <f aca="false">F69*(1-前提!$D$17)</f>
        <v>7500</v>
      </c>
      <c r="G72" s="20" t="n">
        <f aca="false">G69*(1-前提!$D$17)</f>
        <v>7500</v>
      </c>
      <c r="H72" s="20" t="n">
        <f aca="false">H69*(1-前提!$D$17)</f>
        <v>7500</v>
      </c>
      <c r="I72" s="20" t="n">
        <f aca="false">I69*(1-前提!$D$17)</f>
        <v>7500</v>
      </c>
      <c r="J72" s="20" t="n">
        <f aca="false">J69*(1-前提!$D$17)</f>
        <v>7500</v>
      </c>
      <c r="K72" s="20" t="n">
        <f aca="false">K69*(1-前提!$D$17)</f>
        <v>7500</v>
      </c>
      <c r="L72" s="20" t="n">
        <f aca="false">L69*(1-前提!$D$17)</f>
        <v>7500</v>
      </c>
      <c r="M72" s="20" t="n">
        <f aca="false">M69*(1-前提!$D$17)</f>
        <v>7500</v>
      </c>
      <c r="N72" s="20" t="n">
        <f aca="false">N69*(1-前提!$D$17)</f>
        <v>7500</v>
      </c>
    </row>
    <row r="73" customFormat="false" ht="15" hidden="false" customHeight="true" outlineLevel="0" collapsed="false">
      <c r="A73" s="3" t="s">
        <v>125</v>
      </c>
      <c r="B73" s="3" t="s">
        <v>119</v>
      </c>
      <c r="C73" s="20" t="n">
        <f aca="false">前提!$D$21+前提!$D$22</f>
        <v>150000</v>
      </c>
      <c r="D73" s="20" t="n">
        <f aca="false">前提!$D$21+前提!$D$22</f>
        <v>150000</v>
      </c>
      <c r="E73" s="20" t="n">
        <f aca="false">前提!$D$21+前提!$D$22</f>
        <v>150000</v>
      </c>
      <c r="F73" s="20" t="n">
        <f aca="false">前提!$D$21+前提!$D$22</f>
        <v>150000</v>
      </c>
      <c r="G73" s="20" t="n">
        <f aca="false">前提!$D$21+前提!$D$22</f>
        <v>150000</v>
      </c>
      <c r="H73" s="20" t="n">
        <f aca="false">前提!$D$21+前提!$D$22</f>
        <v>150000</v>
      </c>
      <c r="I73" s="20" t="n">
        <f aca="false">前提!$D$21+前提!$D$22</f>
        <v>150000</v>
      </c>
      <c r="J73" s="20" t="n">
        <f aca="false">前提!$D$21+前提!$D$22</f>
        <v>150000</v>
      </c>
      <c r="K73" s="20" t="n">
        <f aca="false">前提!$D$21+前提!$D$22</f>
        <v>150000</v>
      </c>
      <c r="L73" s="20" t="n">
        <f aca="false">前提!$D$21+前提!$D$22</f>
        <v>150000</v>
      </c>
      <c r="M73" s="20" t="n">
        <f aca="false">前提!$D$21+前提!$D$22</f>
        <v>150000</v>
      </c>
      <c r="N73" s="20" t="n">
        <f aca="false">前提!$D$21+前提!$D$22</f>
        <v>150000</v>
      </c>
    </row>
    <row r="74" customFormat="false" ht="15" hidden="false" customHeight="true" outlineLevel="0" collapsed="false">
      <c r="A74" s="3" t="s">
        <v>126</v>
      </c>
      <c r="B74" s="3" t="s">
        <v>119</v>
      </c>
      <c r="C74" s="20" t="n">
        <f aca="false">前提!$D$23/12</f>
        <v>12500</v>
      </c>
      <c r="D74" s="20" t="n">
        <f aca="false">前提!$D$23/12</f>
        <v>12500</v>
      </c>
      <c r="E74" s="20" t="n">
        <f aca="false">前提!$D$23/12</f>
        <v>12500</v>
      </c>
      <c r="F74" s="20" t="n">
        <f aca="false">前提!$D$23/12</f>
        <v>12500</v>
      </c>
      <c r="G74" s="20" t="n">
        <f aca="false">前提!$D$23/12</f>
        <v>12500</v>
      </c>
      <c r="H74" s="20" t="n">
        <f aca="false">前提!$D$23/12</f>
        <v>12500</v>
      </c>
      <c r="I74" s="20" t="n">
        <f aca="false">前提!$D$23/12</f>
        <v>12500</v>
      </c>
      <c r="J74" s="20" t="n">
        <f aca="false">前提!$D$23/12</f>
        <v>12500</v>
      </c>
      <c r="K74" s="20" t="n">
        <f aca="false">前提!$D$23/12</f>
        <v>12500</v>
      </c>
      <c r="L74" s="20" t="n">
        <f aca="false">前提!$D$23/12</f>
        <v>12500</v>
      </c>
      <c r="M74" s="20" t="n">
        <f aca="false">前提!$D$23/12</f>
        <v>12500</v>
      </c>
      <c r="N74" s="20" t="n">
        <f aca="false">前提!$D$23/12</f>
        <v>12500</v>
      </c>
    </row>
    <row r="75" customFormat="false" ht="15" hidden="false" customHeight="true" outlineLevel="0" collapsed="false">
      <c r="A75" s="12" t="s">
        <v>127</v>
      </c>
      <c r="B75" s="3" t="s">
        <v>119</v>
      </c>
      <c r="C75" s="32" t="n">
        <f aca="false">C71-C72-C73-C74</f>
        <v>-95380.4</v>
      </c>
      <c r="D75" s="32" t="n">
        <f aca="false">D71-D72-D73-D74</f>
        <v>-5570.80000000002</v>
      </c>
      <c r="E75" s="32" t="n">
        <f aca="false">E71-E72-E73-E74</f>
        <v>39914.8</v>
      </c>
      <c r="F75" s="32" t="n">
        <f aca="false">F71-F72-F73-F74</f>
        <v>63238.4</v>
      </c>
      <c r="G75" s="32" t="n">
        <f aca="false">G71-G72-G73-G74</f>
        <v>64294.4</v>
      </c>
      <c r="H75" s="32" t="n">
        <f aca="false">H71-H72-H73-H74</f>
        <v>65350.4</v>
      </c>
      <c r="I75" s="32" t="n">
        <f aca="false">I71-I72-I73-I74</f>
        <v>66406.4</v>
      </c>
      <c r="J75" s="32" t="n">
        <f aca="false">J71-J72-J73-J74</f>
        <v>67462.4</v>
      </c>
      <c r="K75" s="32" t="n">
        <f aca="false">K71-K72-K73-K74</f>
        <v>68518.4</v>
      </c>
      <c r="L75" s="32" t="n">
        <f aca="false">L71-L72-L73-L74</f>
        <v>69574.4</v>
      </c>
      <c r="M75" s="32" t="n">
        <f aca="false">M71-M72-M73-M74</f>
        <v>70630.4</v>
      </c>
      <c r="N75" s="32" t="n">
        <f aca="false">N71-N72-N73-N74</f>
        <v>71686.4</v>
      </c>
    </row>
    <row r="76" customFormat="false" ht="15" hidden="false" customHeight="true" outlineLevel="0" collapsed="false">
      <c r="A76" s="3" t="s">
        <v>128</v>
      </c>
      <c r="B76" s="3" t="s">
        <v>119</v>
      </c>
      <c r="C76" s="8" t="n">
        <f aca="false">前提!$D$30</f>
        <v>53242.0848164408</v>
      </c>
      <c r="D76" s="8" t="n">
        <f aca="false">前提!$D$30</f>
        <v>53242.0848164408</v>
      </c>
      <c r="E76" s="8" t="n">
        <f aca="false">前提!$D$30</f>
        <v>53242.0848164408</v>
      </c>
      <c r="F76" s="8" t="n">
        <f aca="false">前提!$D$30</f>
        <v>53242.0848164408</v>
      </c>
      <c r="G76" s="8" t="n">
        <f aca="false">前提!$D$30</f>
        <v>53242.0848164408</v>
      </c>
      <c r="H76" s="8" t="n">
        <f aca="false">前提!$D$30</f>
        <v>53242.0848164408</v>
      </c>
      <c r="I76" s="8" t="n">
        <f aca="false">前提!$D$30</f>
        <v>53242.0848164408</v>
      </c>
      <c r="J76" s="8" t="n">
        <f aca="false">前提!$D$30</f>
        <v>53242.0848164408</v>
      </c>
      <c r="K76" s="8" t="n">
        <f aca="false">前提!$D$30</f>
        <v>53242.0848164408</v>
      </c>
      <c r="L76" s="8" t="n">
        <f aca="false">前提!$D$30</f>
        <v>53242.0848164408</v>
      </c>
      <c r="M76" s="8" t="n">
        <f aca="false">前提!$D$30</f>
        <v>53242.0848164408</v>
      </c>
      <c r="N76" s="8" t="n">
        <f aca="false">前提!$D$30</f>
        <v>53242.0848164408</v>
      </c>
    </row>
    <row r="77" customFormat="false" ht="15" hidden="false" customHeight="true" outlineLevel="0" collapsed="false">
      <c r="A77" s="3" t="s">
        <v>129</v>
      </c>
      <c r="B77" s="3" t="s">
        <v>119</v>
      </c>
      <c r="C77" s="20" t="n">
        <f aca="false">C75-C76</f>
        <v>-148622.484816441</v>
      </c>
      <c r="D77" s="20" t="n">
        <f aca="false">D75-D76</f>
        <v>-58812.8848164409</v>
      </c>
      <c r="E77" s="20" t="n">
        <f aca="false">E75-E76</f>
        <v>-13327.2848164409</v>
      </c>
      <c r="F77" s="20" t="n">
        <f aca="false">F75-F76</f>
        <v>9996.31518355915</v>
      </c>
      <c r="G77" s="20" t="n">
        <f aca="false">G75-G76</f>
        <v>11052.3151835591</v>
      </c>
      <c r="H77" s="20" t="n">
        <f aca="false">H75-H76</f>
        <v>12108.3151835591</v>
      </c>
      <c r="I77" s="20" t="n">
        <f aca="false">I75-I76</f>
        <v>13164.3151835591</v>
      </c>
      <c r="J77" s="20" t="n">
        <f aca="false">J75-J76</f>
        <v>14220.3151835591</v>
      </c>
      <c r="K77" s="20" t="n">
        <f aca="false">K75-K76</f>
        <v>15276.3151835591</v>
      </c>
      <c r="L77" s="20" t="n">
        <f aca="false">L75-L76</f>
        <v>16332.3151835591</v>
      </c>
      <c r="M77" s="20" t="n">
        <f aca="false">M75-M76</f>
        <v>17388.3151835592</v>
      </c>
      <c r="N77" s="20" t="n">
        <f aca="false">N75-N76</f>
        <v>18444.3151835592</v>
      </c>
    </row>
    <row r="78" customFormat="false" ht="15" hidden="false" customHeight="true" outlineLevel="0" collapsed="false">
      <c r="A78" s="12" t="s">
        <v>130</v>
      </c>
      <c r="B78" s="3" t="s">
        <v>119</v>
      </c>
      <c r="C78" s="33" t="n">
        <f aca="false">前提!$D$31+C77</f>
        <v>2351377.51518356</v>
      </c>
      <c r="D78" s="32" t="n">
        <f aca="false">C78+D77</f>
        <v>2292564.63036712</v>
      </c>
      <c r="E78" s="32" t="n">
        <f aca="false">D78+E77</f>
        <v>2279237.34555068</v>
      </c>
      <c r="F78" s="32" t="n">
        <f aca="false">E78+F77</f>
        <v>2289233.66073424</v>
      </c>
      <c r="G78" s="32" t="n">
        <f aca="false">F78+G77</f>
        <v>2300285.9759178</v>
      </c>
      <c r="H78" s="32" t="n">
        <f aca="false">G78+H77</f>
        <v>2312394.29110135</v>
      </c>
      <c r="I78" s="32" t="n">
        <f aca="false">H78+I77</f>
        <v>2325558.60628491</v>
      </c>
      <c r="J78" s="32" t="n">
        <f aca="false">I78+J77</f>
        <v>2339778.92146847</v>
      </c>
      <c r="K78" s="32" t="n">
        <f aca="false">J78+K77</f>
        <v>2355055.23665203</v>
      </c>
      <c r="L78" s="32" t="n">
        <f aca="false">K78+L77</f>
        <v>2371387.55183559</v>
      </c>
      <c r="M78" s="32" t="n">
        <f aca="false">L78+M77</f>
        <v>2388775.86701915</v>
      </c>
      <c r="N78" s="32" t="n">
        <f aca="false">M78+N77</f>
        <v>2407220.18220271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2026-10-20T00:44:12Z</dcterms:created>
  <dc:creator>openpyxl</dc:creator>
  <dc:description/>
  <dc:language>en-US</dc:language>
  <cp:lastModifiedBy/>
  <dcterms:modified xsi:type="dcterms:W3CDTF">2026-10-23T10:41:20Z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